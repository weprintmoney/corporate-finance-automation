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hared/Previously Relocated Items/Security/All My Stuff/Home Page 2002/pc/"/>
    </mc:Choice>
  </mc:AlternateContent>
  <xr:revisionPtr revIDLastSave="0" documentId="8_{E7406412-F0E7-2A45-8A52-E23F3F4BD577}" xr6:coauthVersionLast="47" xr6:coauthVersionMax="47" xr10:uidLastSave="{00000000-0000-0000-0000-000000000000}"/>
  <bookViews>
    <workbookView xWindow="-400" yWindow="1060" windowWidth="28800" windowHeight="17500" tabRatio="500" xr2:uid="{00000000-000D-0000-FFFF-FFFF00000000}"/>
  </bookViews>
  <sheets>
    <sheet name="Company bottom up beta estimate" sheetId="2" r:id="rId1"/>
    <sheet name="US industry averages" sheetId="1" r:id="rId2"/>
    <sheet name="Market value of debt" sheetId="5" r:id="rId3"/>
    <sheet name="Lease conversion" sheetId="3" r:id="rId4"/>
    <sheet name="Marginal tax rate" sheetId="4" r:id="rId5"/>
  </sheets>
  <calcPr calcId="191029" iterate="1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2" l="1"/>
  <c r="D3" i="2" s="1"/>
  <c r="C4" i="2"/>
  <c r="D4" i="2" s="1"/>
  <c r="C5" i="2"/>
  <c r="D5" i="2" s="1"/>
  <c r="C6" i="2"/>
  <c r="D6" i="2" s="1"/>
  <c r="C7" i="2"/>
  <c r="D7" i="2" s="1"/>
  <c r="F20" i="2"/>
  <c r="C20" i="2"/>
  <c r="F19" i="2"/>
  <c r="C19" i="2"/>
  <c r="F18" i="2"/>
  <c r="C18" i="2"/>
  <c r="F17" i="2"/>
  <c r="C17" i="2"/>
  <c r="F16" i="2"/>
  <c r="C16" i="2"/>
  <c r="F15" i="2"/>
  <c r="C15" i="2"/>
  <c r="F14" i="2"/>
  <c r="C14" i="2"/>
  <c r="F13" i="2"/>
  <c r="C13" i="2"/>
  <c r="F12" i="2"/>
  <c r="C12" i="2"/>
  <c r="F11" i="2"/>
  <c r="C11" i="2"/>
  <c r="F10" i="2"/>
  <c r="C10" i="2"/>
  <c r="F9" i="2"/>
  <c r="C9" i="2"/>
  <c r="F8" i="2"/>
  <c r="C8" i="2"/>
  <c r="B7" i="5"/>
  <c r="B25" i="2" s="1"/>
  <c r="B28" i="3"/>
  <c r="A28" i="3"/>
  <c r="C28" i="3"/>
  <c r="B29" i="3"/>
  <c r="C29" i="3" s="1"/>
  <c r="A29" i="3"/>
  <c r="B30" i="3"/>
  <c r="A30" i="3"/>
  <c r="B31" i="3"/>
  <c r="C31" i="3" s="1"/>
  <c r="A31" i="3"/>
  <c r="B32" i="3"/>
  <c r="C32" i="3" s="1"/>
  <c r="A32" i="3"/>
  <c r="D24" i="3"/>
  <c r="B33" i="3" s="1"/>
  <c r="E6" i="5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A33" i="3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B21" i="2"/>
  <c r="C30" i="3" l="1"/>
  <c r="D21" i="2"/>
  <c r="E5" i="2" s="1"/>
  <c r="C33" i="3"/>
  <c r="C34" i="3" s="1"/>
  <c r="B26" i="2" s="1"/>
  <c r="B33" i="2" s="1"/>
  <c r="E4" i="2" l="1"/>
  <c r="E6" i="2"/>
  <c r="E3" i="2"/>
  <c r="E7" i="2"/>
  <c r="E21" i="2" l="1"/>
  <c r="F3" i="2" l="1"/>
  <c r="G3" i="2"/>
  <c r="G21" i="2" s="1"/>
  <c r="F4" i="2"/>
  <c r="G4" i="2"/>
  <c r="F5" i="2"/>
  <c r="G5" i="2"/>
  <c r="F6" i="2"/>
  <c r="G6" i="2"/>
  <c r="F7" i="2"/>
  <c r="G7" i="2"/>
  <c r="B30" i="2" l="1"/>
  <c r="B34" i="2" s="1"/>
  <c r="B31" i="2"/>
  <c r="B3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C17" authorId="0" shapeId="0" xr:uid="{00000000-0006-0000-0300-000001000000}">
      <text>
        <r>
          <rPr>
            <b/>
            <sz val="9"/>
            <color indexed="81"/>
            <rFont val="Geneva"/>
            <family val="2"/>
          </rPr>
          <t>Aswath Damodaran:</t>
        </r>
        <r>
          <rPr>
            <sz val="9"/>
            <color indexed="81"/>
            <rFont val="Geneva"/>
            <family val="2"/>
          </rPr>
          <t xml:space="preserve">
If your company is rated, use the actual rating. If you want to use a synthetic rating, use the synthetic ratings worksheet (available under spreadsheets).</t>
        </r>
      </text>
    </comment>
  </commentList>
</comments>
</file>

<file path=xl/sharedStrings.xml><?xml version="1.0" encoding="utf-8"?>
<sst xmlns="http://schemas.openxmlformats.org/spreadsheetml/2006/main" count="364" uniqueCount="346">
  <si>
    <t>Advertising</t>
  </si>
  <si>
    <t>Aerospace/Defense</t>
  </si>
  <si>
    <t>Air Transport</t>
  </si>
  <si>
    <t>Apparel</t>
  </si>
  <si>
    <t>Auto Parts</t>
  </si>
  <si>
    <t>Building Materials</t>
  </si>
  <si>
    <t>Cable TV</t>
  </si>
  <si>
    <t>Chemical (Basic)</t>
  </si>
  <si>
    <t>Chemical (Diversified)</t>
  </si>
  <si>
    <t>Chemical (Specialty)</t>
  </si>
  <si>
    <t>Computers/Peripherals</t>
  </si>
  <si>
    <t>Electrical Equipment</t>
  </si>
  <si>
    <t>Entertainment</t>
  </si>
  <si>
    <t>Food Processing</t>
  </si>
  <si>
    <t>Furn/Home Furnishings</t>
  </si>
  <si>
    <t>Homebuilding</t>
  </si>
  <si>
    <t>Hotel/Gaming</t>
  </si>
  <si>
    <t>Household Products</t>
  </si>
  <si>
    <t>Information Services</t>
  </si>
  <si>
    <t>Insurance (Life)</t>
  </si>
  <si>
    <t>Insurance (Prop/Cas.)</t>
  </si>
  <si>
    <t>Machinery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</si>
  <si>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</si>
  <si>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</si>
  <si>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</si>
  <si>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</si>
  <si>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</si>
  <si>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</si>
  <si>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R.E.I.T.</t>
  </si>
  <si>
    <t>Recreation</t>
  </si>
  <si>
    <t>Reinsurance</t>
  </si>
  <si>
    <t>Semiconductor</t>
  </si>
  <si>
    <t>Semiconductor Equip</t>
  </si>
  <si>
    <t>Shoe</t>
  </si>
  <si>
    <t>Steel</t>
  </si>
  <si>
    <t>Telecom. Equipment</t>
  </si>
  <si>
    <t>Telecom. Services</t>
  </si>
  <si>
    <t>Tobacco</t>
  </si>
  <si>
    <t>Trucking</t>
  </si>
  <si>
    <t>Bottom up unlevered beta</t>
  </si>
  <si>
    <t>Business</t>
  </si>
  <si>
    <t>Revenues</t>
  </si>
  <si>
    <t>Other inputs</t>
  </si>
  <si>
    <t>Cash</t>
  </si>
  <si>
    <t>Total Debt</t>
  </si>
  <si>
    <t>PV of lease commitments</t>
  </si>
  <si>
    <t>Market capitalization</t>
  </si>
  <si>
    <t>EV/Sales</t>
  </si>
  <si>
    <t>Estimated value</t>
  </si>
  <si>
    <t>Pure play beta</t>
  </si>
  <si>
    <t>Weights</t>
  </si>
  <si>
    <t>Total operating businesses</t>
  </si>
  <si>
    <t>Weight* Beta</t>
  </si>
  <si>
    <t>Operating Lease Converter</t>
  </si>
  <si>
    <t>Operating lease expenses are really financial expenses, and should be treated as such. Accounting standards allow them to</t>
  </si>
  <si>
    <t>be treated as operating expenses. This program will convert commitments to make operating leases into debt and</t>
  </si>
  <si>
    <t>adjust the operating income accordingly, by adding back the imputed interest expense on this debt.</t>
  </si>
  <si>
    <t>Inputs</t>
  </si>
  <si>
    <t>Operating lease expense in current year =</t>
  </si>
  <si>
    <t>Operating Lease Commitments (From footnote to financials)</t>
  </si>
  <si>
    <t>Year</t>
  </si>
  <si>
    <t>Commitment</t>
  </si>
  <si>
    <t>! Year 1 is next year, ….</t>
  </si>
  <si>
    <t>6 and beyond</t>
  </si>
  <si>
    <t>Pre-tax Cost of Debt =</t>
  </si>
  <si>
    <t>From the current financial statements, enter the following</t>
  </si>
  <si>
    <t>Reported Operating Income (EBIT) =</t>
  </si>
  <si>
    <t>! This is the EBIT reported in the current income statement</t>
  </si>
  <si>
    <t>Reported Debt =</t>
  </si>
  <si>
    <t>! This is the interest-bearing debt reported on the balance sheet</t>
  </si>
  <si>
    <t>Reported Interest Expenses =</t>
  </si>
  <si>
    <t>Output</t>
  </si>
  <si>
    <t>Number of years embedded in yr 6 estimate =</t>
  </si>
  <si>
    <t>! I use the average lease expense over the first five years</t>
  </si>
  <si>
    <t>to estimate the number of years of expenses in yr 6</t>
  </si>
  <si>
    <t>Converting Operating Leases into debt</t>
  </si>
  <si>
    <t>Present Value</t>
  </si>
  <si>
    <t>! Commitment beyond year 6 converted into an annuity for ten years</t>
  </si>
  <si>
    <t>Debt Value of leases =</t>
  </si>
  <si>
    <t>Unlevered beta for operating assets =</t>
  </si>
  <si>
    <t>Unlevered beta for company =</t>
  </si>
  <si>
    <t>D/E ratio =</t>
  </si>
  <si>
    <t>Levered beta for operating assets =</t>
  </si>
  <si>
    <t>Levered beta for company =</t>
  </si>
  <si>
    <t>Marginal tax rate</t>
  </si>
  <si>
    <t>Country</t>
  </si>
  <si>
    <t>Afghanistan</t>
  </si>
  <si>
    <t>Albania</t>
  </si>
  <si>
    <t>Angola</t>
  </si>
  <si>
    <t>Argentina</t>
  </si>
  <si>
    <t>Armenia</t>
  </si>
  <si>
    <t>Aruba</t>
  </si>
  <si>
    <t>Australia</t>
  </si>
  <si>
    <t>Austria</t>
  </si>
  <si>
    <t>Bahamas</t>
  </si>
  <si>
    <t>Bahrain</t>
  </si>
  <si>
    <t>Bangladesh</t>
  </si>
  <si>
    <t>Barbados</t>
  </si>
  <si>
    <t>Belarus</t>
  </si>
  <si>
    <t>Belgium</t>
  </si>
  <si>
    <t>Bermuda</t>
  </si>
  <si>
    <t>Bolivia</t>
  </si>
  <si>
    <t>Bosnia and Herzegovina</t>
  </si>
  <si>
    <t>Botswana</t>
  </si>
  <si>
    <t>Brazil</t>
  </si>
  <si>
    <t>Bulgaria</t>
  </si>
  <si>
    <t>Cambodia</t>
  </si>
  <si>
    <t>Canada</t>
  </si>
  <si>
    <t>Cayman Islands</t>
  </si>
  <si>
    <t>Chile</t>
  </si>
  <si>
    <t>China</t>
  </si>
  <si>
    <t>Colombia</t>
  </si>
  <si>
    <t>Costa Rica</t>
  </si>
  <si>
    <t>Croatia</t>
  </si>
  <si>
    <t>Curacao</t>
  </si>
  <si>
    <t>Cyprus</t>
  </si>
  <si>
    <t>Czech Republic</t>
  </si>
  <si>
    <t>Denmark</t>
  </si>
  <si>
    <t>Dominican Republic</t>
  </si>
  <si>
    <t>Ecuador</t>
  </si>
  <si>
    <t>Egypt</t>
  </si>
  <si>
    <t>Estonia</t>
  </si>
  <si>
    <t>El Salvador</t>
  </si>
  <si>
    <t>Fiji</t>
  </si>
  <si>
    <t>Finland</t>
  </si>
  <si>
    <t>France</t>
  </si>
  <si>
    <t>Georgia</t>
  </si>
  <si>
    <t>Germany</t>
  </si>
  <si>
    <t>Gibraltar</t>
  </si>
  <si>
    <t>Greece</t>
  </si>
  <si>
    <t>Guatemala</t>
  </si>
  <si>
    <t>Guernsey</t>
  </si>
  <si>
    <t>Honduras</t>
  </si>
  <si>
    <t>Hungary</t>
  </si>
  <si>
    <t>Iceland</t>
  </si>
  <si>
    <t>India</t>
  </si>
  <si>
    <t>Indonesia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</si>
  <si>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</si>
  <si>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</si>
  <si>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</si>
  <si>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</si>
  <si>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</si>
  <si>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</si>
  <si>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</si>
  <si>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</si>
  <si>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</si>
  <si>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</si>
  <si>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Korea, Republic of</t>
  </si>
  <si>
    <t>Kuwait</t>
  </si>
  <si>
    <t>Latvia</t>
  </si>
  <si>
    <t>Libya</t>
  </si>
  <si>
    <t>Liechtenstein</t>
  </si>
  <si>
    <t>Lithuania</t>
  </si>
  <si>
    <t>Luxembourg</t>
  </si>
  <si>
    <t>Macau</t>
  </si>
  <si>
    <t>Macedonia</t>
  </si>
  <si>
    <t>Malawi</t>
  </si>
  <si>
    <t>Malaysia</t>
  </si>
  <si>
    <t>Malta</t>
  </si>
  <si>
    <t>Mauritius</t>
  </si>
  <si>
    <t>Mexico</t>
  </si>
  <si>
    <t>Montenegro</t>
  </si>
  <si>
    <t>Mozambique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</si>
  <si>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</si>
  <si>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</si>
  <si>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</si>
  <si>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</si>
  <si>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</si>
  <si>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</si>
  <si>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</si>
  <si>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</si>
  <si>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</si>
  <si>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</si>
  <si>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</si>
  <si>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</si>
  <si>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</si>
  <si>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</si>
  <si>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</si>
  <si>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</si>
  <si>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</si>
  <si>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Samoa</t>
  </si>
  <si>
    <t>Saudi Arabia</t>
  </si>
  <si>
    <t>Serbia</t>
  </si>
  <si>
    <t>Singapore</t>
  </si>
  <si>
    <t>Slovenia</t>
  </si>
  <si>
    <t>South Africa</t>
  </si>
  <si>
    <t>Spain</t>
  </si>
  <si>
    <t>Sri Lanka</t>
  </si>
  <si>
    <t>St Maarten</t>
  </si>
  <si>
    <t>Sudan</t>
  </si>
  <si>
    <t>Sweden</t>
  </si>
  <si>
    <t>Switzerland</t>
  </si>
  <si>
    <t>Syria</t>
  </si>
  <si>
    <t>Taiwan</t>
  </si>
  <si>
    <t>Tanzania</t>
  </si>
  <si>
    <t>Thailand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</si>
  <si>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</si>
  <si>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</si>
  <si>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</si>
  <si>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</si>
  <si>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</si>
  <si>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</si>
  <si>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</si>
  <si>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</si>
  <si>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</si>
  <si>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Vanuatu</t>
  </si>
  <si>
    <t>Venezuela</t>
  </si>
  <si>
    <t>Vietnam</t>
  </si>
  <si>
    <t>Yemen</t>
  </si>
  <si>
    <t>Zambia</t>
  </si>
  <si>
    <t>Zimbabwe</t>
  </si>
  <si>
    <t>(See worksheet for marginal tax rate, by country)</t>
  </si>
  <si>
    <t>( See worksheet for converting leases)</t>
  </si>
  <si>
    <t>(See worksheet for converting book value of interest bearing debt to market value)</t>
  </si>
  <si>
    <t>Book value of debt</t>
  </si>
  <si>
    <t>Interest expense</t>
  </si>
  <si>
    <t xml:space="preserve">Average maturity </t>
  </si>
  <si>
    <t>Pre-tax cost of debt</t>
  </si>
  <si>
    <t>(Gross interest expense, if you can get it)</t>
  </si>
  <si>
    <t>Estimated market value of debt</t>
  </si>
  <si>
    <t>Book interest rate =</t>
  </si>
  <si>
    <t>This  is the beta to use in your cost of capital computation. Cost of capital applies only to operating assets.</t>
  </si>
  <si>
    <t xml:space="preserve">This is the beta to use if you want a cost of equity for your entire firm. </t>
  </si>
  <si>
    <t>You may use this to compare to an overall return on equity or to discount any cashflow that includes interest income in it.</t>
  </si>
  <si>
    <t>Auto &amp; Truck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</si>
  <si>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</si>
  <si>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</si>
  <si>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</si>
  <si>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</si>
  <si>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</si>
  <si>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</si>
  <si>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Business &amp; Consumer Services</t>
  </si>
  <si>
    <t>Coal &amp; Related Energy</t>
  </si>
  <si>
    <t>Computer Services</t>
  </si>
  <si>
    <t>Construction Supplies</t>
  </si>
  <si>
    <t>Diversified</t>
  </si>
  <si>
    <t>Drugs (Biotechnology)</t>
  </si>
  <si>
    <t>Drugs (Pharmaceutical)</t>
  </si>
  <si>
    <t>Education</t>
  </si>
  <si>
    <t>Electronics (Consumer &amp; Office)</t>
  </si>
  <si>
    <t>Electronics (General)</t>
  </si>
  <si>
    <t>Engineering/Construction</t>
  </si>
  <si>
    <t>Environmental &amp; Waste Services</t>
  </si>
  <si>
    <t>Farming/Agriculture</t>
  </si>
  <si>
    <t>Financial Svcs. (Non-bank &amp; Insurance)</t>
  </si>
  <si>
    <t>Food Wholesalers</t>
  </si>
  <si>
    <t>Green &amp; Renewable Energy</t>
  </si>
  <si>
    <t>Healthcare Products</t>
  </si>
  <si>
    <t>Healthcare Support Services</t>
  </si>
  <si>
    <t>Heathcare Information and Technology</t>
  </si>
  <si>
    <t>Hospitals/Healthcare Facilities</t>
  </si>
  <si>
    <t>Insurance (General)</t>
  </si>
  <si>
    <t>Investments &amp; Asset Management</t>
  </si>
  <si>
    <t>Metals &amp; Mining</t>
  </si>
  <si>
    <t>Office Equipment &amp; Services</t>
  </si>
  <si>
    <t>Oil/Gas (Integrated)</t>
  </si>
  <si>
    <t>Oil/Gas (Production and Exploration)</t>
  </si>
  <si>
    <t>Real Estate (Development)</t>
  </si>
  <si>
    <t>Real Estate (General/Diversified)</t>
  </si>
  <si>
    <t>Real Estate (Operations &amp; Services)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</si>
  <si>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</si>
  <si>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</si>
  <si>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</si>
  <si>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</si>
  <si>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</si>
  <si>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</si>
  <si>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(Online)</t>
  </si>
  <si>
    <t>Retail (Special Lines)</t>
  </si>
  <si>
    <t>Rubber&amp; Tires</t>
  </si>
  <si>
    <t>Shipbuilding &amp; Marine</t>
  </si>
  <si>
    <t>Software (Entertainment)</t>
  </si>
  <si>
    <t>Software (Internet)</t>
  </si>
  <si>
    <t>Software (System &amp; Application)</t>
  </si>
  <si>
    <t>Telecom (Wireless)</t>
  </si>
  <si>
    <t>Transportation</t>
  </si>
  <si>
    <t>Transportation (Railroads)</t>
  </si>
  <si>
    <t>Utility (General)</t>
  </si>
  <si>
    <t>Utility (Water)</t>
  </si>
  <si>
    <t>Algeria</t>
  </si>
  <si>
    <t>Bonaire, Saint Eustatius and Saba</t>
  </si>
  <si>
    <t>Cameroon</t>
  </si>
  <si>
    <t>Ghana</t>
  </si>
  <si>
    <t>Hong Kong SAR</t>
  </si>
  <si>
    <t>Iraq</t>
  </si>
  <si>
    <t>Lebanon</t>
  </si>
  <si>
    <t>Moldova</t>
  </si>
  <si>
    <t>Morocco</t>
  </si>
  <si>
    <t>Sierra Leone</t>
  </si>
  <si>
    <t>Sint Maarten (Dutch part)</t>
  </si>
  <si>
    <t>Slovakia</t>
  </si>
  <si>
    <t>Suriname</t>
  </si>
  <si>
    <t>Number of firms</t>
  </si>
  <si>
    <t xml:space="preserve">Beta </t>
  </si>
  <si>
    <t>D/E Ratio</t>
  </si>
  <si>
    <t>Unlevered beta</t>
  </si>
  <si>
    <t>Cash/Firm value</t>
  </si>
  <si>
    <t>Unlevered beta corrected for cash</t>
  </si>
  <si>
    <t>Publishing &amp; Newspapers</t>
  </si>
  <si>
    <t>Effective Tax rate</t>
  </si>
  <si>
    <t>Andorra</t>
  </si>
  <si>
    <t>Anguilla</t>
  </si>
  <si>
    <t>Antigua and Barbuda</t>
  </si>
  <si>
    <t>Azerbaijan</t>
  </si>
  <si>
    <t>Benin</t>
  </si>
  <si>
    <t>Brunei Darussalam</t>
  </si>
  <si>
    <t>Burkina Faso</t>
  </si>
  <si>
    <t>Burundi</t>
  </si>
  <si>
    <t>Congo (Democratic Republic of the)</t>
  </si>
  <si>
    <t>Djibouti</t>
  </si>
  <si>
    <t>Dominica</t>
  </si>
  <si>
    <t>Ethiopia</t>
  </si>
  <si>
    <t>Gabon</t>
  </si>
  <si>
    <t>Gambia</t>
  </si>
  <si>
    <t>Grenada</t>
  </si>
  <si>
    <t>Ivory Coast</t>
  </si>
  <si>
    <t>Kyrgyzstan</t>
  </si>
  <si>
    <t>Madagascar</t>
  </si>
  <si>
    <t>Monaco</t>
  </si>
  <si>
    <t>Mongolia</t>
  </si>
  <si>
    <t>Myanmar</t>
  </si>
  <si>
    <t>Nicaragua</t>
  </si>
  <si>
    <t>Palestinian Territory</t>
  </si>
  <si>
    <t>Rwanda</t>
  </si>
  <si>
    <t>Saint Kitts and Nevis</t>
  </si>
  <si>
    <t>Saint Lucia</t>
  </si>
  <si>
    <t>Saint Vincent and the Grenadines</t>
  </si>
  <si>
    <t>Senegal</t>
  </si>
  <si>
    <t>Solomon Islands</t>
  </si>
  <si>
    <t>Swaziland</t>
  </si>
  <si>
    <t>Turkmenistan</t>
  </si>
  <si>
    <t>Turks and Caicos Islands</t>
  </si>
  <si>
    <t>Uzbekistan</t>
  </si>
  <si>
    <t>Africa average</t>
  </si>
  <si>
    <t>Americas average</t>
  </si>
  <si>
    <t>Asia average</t>
  </si>
  <si>
    <t>EU average</t>
  </si>
  <si>
    <t>Europe average</t>
  </si>
  <si>
    <t>Global average</t>
  </si>
  <si>
    <t>Latin America average</t>
  </si>
  <si>
    <t>North America average</t>
  </si>
  <si>
    <t>Oceania average</t>
  </si>
  <si>
    <t>OECD average</t>
  </si>
  <si>
    <t>South America average</t>
  </si>
  <si>
    <t>Industry Name</t>
  </si>
  <si>
    <t>Congo</t>
  </si>
  <si>
    <t>Tax Rate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</si>
</sst>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00"/>
    <numFmt numFmtId="165" formatCode="&quot;$&quot;#,##0.00"/>
    <numFmt numFmtId="166" formatCode="0.0000"/>
    <numFmt numFmtId="167" formatCode="&quot;$&quot;#,##0"/>
  </numFmts>
  <fonts count="17">
    <font>
      <sz val="12"/>
      <color theme="1"/>
      <name val="Calibri"/>
      <family val="2"/>
      <scheme val="minor"/>
    </font>
    <font>
      <sz val="8"/>
      <name val="Calibri"/>
      <family val="2"/>
    </font>
    <font>
      <b/>
      <sz val="14"/>
      <name val="Times"/>
      <family val="1"/>
    </font>
    <font>
      <sz val="12"/>
      <name val="Times"/>
      <family val="1"/>
    </font>
    <font>
      <b/>
      <sz val="10"/>
      <name val="Times"/>
      <family val="1"/>
    </font>
    <font>
      <sz val="10"/>
      <name val="Times"/>
      <family val="1"/>
    </font>
    <font>
      <i/>
      <sz val="10"/>
      <name val="Times"/>
      <family val="1"/>
    </font>
    <font>
      <b/>
      <sz val="9"/>
      <color indexed="81"/>
      <name val="Geneva"/>
      <family val="2"/>
    </font>
    <font>
      <sz val="9"/>
      <color indexed="81"/>
      <name val="Geneva"/>
      <family val="2"/>
    </font>
    <font>
      <i/>
      <sz val="10"/>
      <name val="Verdan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333333"/>
      <name val="Arial"/>
      <family val="2"/>
    </font>
    <font>
      <sz val="12"/>
      <color theme="0"/>
      <name val="Calibri"/>
      <family val="2"/>
      <scheme val="minor"/>
    </font>
    <font>
      <i/>
      <sz val="12"/>
      <color theme="0"/>
      <name val="Arial"/>
      <family val="2"/>
    </font>
    <font>
      <i/>
      <sz val="9"/>
      <name val="Genev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77">
    <xf numFmtId="0" fontId="0" fillId="0" borderId="0" xfId="0"/>
    <xf numFmtId="0" fontId="11" fillId="0" borderId="0" xfId="0" applyFont="1"/>
    <xf numFmtId="0" fontId="0" fillId="4" borderId="1" xfId="0" applyFill="1" applyBorder="1"/>
    <xf numFmtId="0" fontId="0" fillId="5" borderId="1" xfId="0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165" fontId="0" fillId="4" borderId="1" xfId="0" applyNumberFormat="1" applyFill="1" applyBorder="1"/>
    <xf numFmtId="10" fontId="10" fillId="5" borderId="1" xfId="2" applyNumberFormat="1" applyFont="1" applyFill="1" applyBorder="1"/>
    <xf numFmtId="166" fontId="0" fillId="5" borderId="2" xfId="0" applyNumberFormat="1" applyFill="1" applyBorder="1"/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/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Continuous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44" fontId="5" fillId="3" borderId="1" xfId="1" applyFont="1" applyFill="1" applyBorder="1"/>
    <xf numFmtId="0" fontId="6" fillId="0" borderId="0" xfId="0" applyFont="1"/>
    <xf numFmtId="0" fontId="5" fillId="0" borderId="1" xfId="0" applyFont="1" applyBorder="1" applyAlignment="1">
      <alignment horizontal="center"/>
    </xf>
    <xf numFmtId="10" fontId="5" fillId="3" borderId="11" xfId="0" applyNumberFormat="1" applyFont="1" applyFill="1" applyBorder="1" applyAlignment="1">
      <alignment horizontal="center"/>
    </xf>
    <xf numFmtId="44" fontId="4" fillId="0" borderId="0" xfId="1" applyFont="1" applyBorder="1"/>
    <xf numFmtId="0" fontId="5" fillId="2" borderId="1" xfId="0" applyFont="1" applyFill="1" applyBorder="1" applyAlignment="1">
      <alignment horizontal="center"/>
    </xf>
    <xf numFmtId="0" fontId="5" fillId="0" borderId="1" xfId="0" applyFont="1" applyBorder="1"/>
    <xf numFmtId="44" fontId="5" fillId="2" borderId="1" xfId="0" applyNumberFormat="1" applyFont="1" applyFill="1" applyBorder="1"/>
    <xf numFmtId="44" fontId="5" fillId="2" borderId="1" xfId="1" applyFont="1" applyFill="1" applyBorder="1"/>
    <xf numFmtId="0" fontId="5" fillId="0" borderId="12" xfId="0" applyFont="1" applyBorder="1"/>
    <xf numFmtId="44" fontId="5" fillId="2" borderId="12" xfId="0" applyNumberFormat="1" applyFont="1" applyFill="1" applyBorder="1"/>
    <xf numFmtId="44" fontId="5" fillId="2" borderId="12" xfId="1" applyFont="1" applyFill="1" applyBorder="1"/>
    <xf numFmtId="0" fontId="5" fillId="0" borderId="11" xfId="0" applyFont="1" applyBorder="1"/>
    <xf numFmtId="44" fontId="5" fillId="2" borderId="11" xfId="0" applyNumberFormat="1" applyFont="1" applyFill="1" applyBorder="1"/>
    <xf numFmtId="166" fontId="0" fillId="5" borderId="11" xfId="0" applyNumberFormat="1" applyFill="1" applyBorder="1"/>
    <xf numFmtId="166" fontId="0" fillId="5" borderId="13" xfId="0" applyNumberFormat="1" applyFill="1" applyBorder="1"/>
    <xf numFmtId="9" fontId="0" fillId="4" borderId="1" xfId="0" applyNumberFormat="1" applyFill="1" applyBorder="1"/>
    <xf numFmtId="167" fontId="0" fillId="4" borderId="1" xfId="0" applyNumberFormat="1" applyFill="1" applyBorder="1"/>
    <xf numFmtId="165" fontId="0" fillId="4" borderId="12" xfId="0" applyNumberFormat="1" applyFill="1" applyBorder="1"/>
    <xf numFmtId="164" fontId="0" fillId="5" borderId="12" xfId="0" applyNumberFormat="1" applyFill="1" applyBorder="1"/>
    <xf numFmtId="165" fontId="0" fillId="5" borderId="12" xfId="0" applyNumberFormat="1" applyFill="1" applyBorder="1"/>
    <xf numFmtId="10" fontId="10" fillId="5" borderId="12" xfId="2" applyNumberFormat="1" applyFont="1" applyFill="1" applyBorder="1"/>
    <xf numFmtId="166" fontId="0" fillId="5" borderId="3" xfId="0" applyNumberFormat="1" applyFill="1" applyBorder="1"/>
    <xf numFmtId="0" fontId="0" fillId="5" borderId="12" xfId="0" applyFill="1" applyBorder="1"/>
    <xf numFmtId="0" fontId="0" fillId="5" borderId="14" xfId="0" applyFill="1" applyBorder="1"/>
    <xf numFmtId="165" fontId="0" fillId="5" borderId="15" xfId="0" applyNumberFormat="1" applyFill="1" applyBorder="1"/>
    <xf numFmtId="0" fontId="0" fillId="5" borderId="15" xfId="0" applyFill="1" applyBorder="1"/>
    <xf numFmtId="10" fontId="0" fillId="5" borderId="15" xfId="0" applyNumberFormat="1" applyFill="1" applyBorder="1"/>
    <xf numFmtId="166" fontId="0" fillId="5" borderId="15" xfId="0" applyNumberFormat="1" applyFill="1" applyBorder="1"/>
    <xf numFmtId="0" fontId="0" fillId="5" borderId="16" xfId="0" applyFill="1" applyBorder="1"/>
    <xf numFmtId="165" fontId="0" fillId="0" borderId="0" xfId="0" applyNumberFormat="1"/>
    <xf numFmtId="10" fontId="10" fillId="0" borderId="0" xfId="2" applyNumberFormat="1" applyFont="1"/>
    <xf numFmtId="0" fontId="0" fillId="0" borderId="11" xfId="0" applyBorder="1"/>
    <xf numFmtId="10" fontId="0" fillId="4" borderId="1" xfId="0" applyNumberFormat="1" applyFill="1" applyBorder="1"/>
    <xf numFmtId="165" fontId="0" fillId="5" borderId="11" xfId="0" applyNumberFormat="1" applyFill="1" applyBorder="1"/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wrapText="1"/>
    </xf>
    <xf numFmtId="2" fontId="9" fillId="0" borderId="1" xfId="0" applyNumberFormat="1" applyFont="1" applyBorder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12" fillId="0" borderId="17" xfId="0" applyFont="1" applyBorder="1"/>
    <xf numFmtId="10" fontId="12" fillId="0" borderId="10" xfId="2" applyNumberFormat="1" applyFont="1" applyBorder="1" applyAlignment="1">
      <alignment horizontal="center"/>
    </xf>
    <xf numFmtId="0" fontId="12" fillId="0" borderId="10" xfId="0" applyFont="1" applyBorder="1"/>
    <xf numFmtId="0" fontId="12" fillId="0" borderId="7" xfId="0" applyFont="1" applyBorder="1"/>
    <xf numFmtId="0" fontId="14" fillId="0" borderId="10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3" fillId="0" borderId="0" xfId="0" applyFont="1"/>
    <xf numFmtId="0" fontId="9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2" fontId="16" fillId="0" borderId="0" xfId="0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78E982-88EA-C349-B868-72BE953E4936}" name="Table33" displayName="Table33" ref="A1:I96" totalsRowShown="0" headerRowDxfId="19" dataDxfId="0" headerRowBorderDxfId="18" tableBorderDxfId="17" totalsRowBorderDxfId="16">
  <autoFilter ref="A1:I96" xr:uid="{DCEF003B-C69B-9142-A5F2-F947ADCCB755}"/>
  <tableColumns count="9">
    <tableColumn id="1" xr3:uid="{1634B1E6-49A1-F845-B3F9-9F1BBA44BC75}" name="Industry Name" dataDxfId="9"/>
    <tableColumn id="2" xr3:uid="{2C49B060-D5CF-9547-A0FB-43C527412871}" name="Number of firms" dataDxfId="8"/>
    <tableColumn id="3" xr3:uid="{6D9053D0-4C32-664B-9460-240AD7644FFA}" name="Beta " dataDxfId="7"/>
    <tableColumn id="4" xr3:uid="{BB57BA0C-268C-1F4D-B5B3-EF0C2A8FD6B7}" name="D/E Ratio" dataDxfId="6"/>
    <tableColumn id="5" xr3:uid="{9794FDC4-F61D-1B4B-A872-A21727C2981A}" name="Effective Tax rate" dataDxfId="5"/>
    <tableColumn id="6" xr3:uid="{B5E578CD-C3AF-F441-BEEF-D3B3D6AE8034}" name="Unlevered beta" dataDxfId="4"/>
    <tableColumn id="7" xr3:uid="{0AAB9B67-CE8A-E64C-8895-0AAE1342D2C4}" name="Cash/Firm value" dataDxfId="3"/>
    <tableColumn id="8" xr3:uid="{FBBEF69B-45B7-C54A-92B2-B8C057BC0031}" name="Unlevered beta corrected for cash" dataDxfId="2"/>
    <tableColumn id="9" xr3:uid="{DCEE8482-109E-B249-B6B6-02A95D3CAFFF}" name="EV/Sales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333BCE-19A1-6541-A3C6-DE4A5E328A2F}" name="Table14" displayName="Table14" ref="A1:B184" totalsRowShown="0" headerRowDxfId="15" headerRowBorderDxfId="14" tableBorderDxfId="13" totalsRowBorderDxfId="12">
  <autoFilter ref="A1:B184" xr:uid="{1A7830CB-F05A-6746-A1EB-927FD8D42FA1}"/>
  <tableColumns count="2">
    <tableColumn id="1" xr3:uid="{99A6DF91-A3A4-8549-9FEE-DA42ED6ECF49}" name="Country" dataDxfId="11"/>
    <tableColumn id="6" xr3:uid="{B98F58A8-90A7-6A47-9B45-BAFDA77B3DCB}" name="Tax Rate 2020" dataDxfId="10" dataCellStyle="Perce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A7" sqref="A7"/>
    </sheetView>
  </sheetViews>
  <sheetFormatPr baseColWidth="10" defaultRowHeight="16"/>
  <cols>
    <col min="1" max="1" width="31.83203125" bestFit="1" customWidth="1"/>
    <col min="6" max="6" width="13" bestFit="1" customWidth="1"/>
  </cols>
  <sheetData>
    <row r="1" spans="1:7">
      <c r="A1" s="1" t="s">
        <v>39</v>
      </c>
    </row>
    <row r="2" spans="1:7">
      <c r="A2" t="s">
        <v>40</v>
      </c>
      <c r="B2" t="s">
        <v>41</v>
      </c>
      <c r="C2" t="s">
        <v>47</v>
      </c>
      <c r="D2" t="s">
        <v>48</v>
      </c>
      <c r="E2" t="s">
        <v>50</v>
      </c>
      <c r="F2" t="s">
        <v>49</v>
      </c>
      <c r="G2" t="s">
        <v>52</v>
      </c>
    </row>
    <row r="3" spans="1:7">
      <c r="A3" s="2" t="s">
        <v>3</v>
      </c>
      <c r="B3" s="6">
        <v>12056</v>
      </c>
      <c r="C3" s="4">
        <f>IF(B3=0," ",VLOOKUP(A3,'US industry averages'!$A$2:$I$96,9))</f>
        <v>1.1592906024030611</v>
      </c>
      <c r="D3" s="5">
        <f t="shared" ref="D3:D8" si="0">IF(B3=0," ",B3*C3)</f>
        <v>13976.407502571305</v>
      </c>
      <c r="E3" s="7">
        <f>IF(B3=0," ",D3/$D$21)</f>
        <v>0.13624275306207798</v>
      </c>
      <c r="F3" s="8">
        <f>IF(B3=0," ",VLOOKUP(A3,'US industry averages'!$A$2:$I$95,8))</f>
        <v>1.0163797426008965</v>
      </c>
      <c r="G3" s="3">
        <f>IF(B3=0," ",E3*F3)</f>
        <v>0.13847437428847231</v>
      </c>
    </row>
    <row r="4" spans="1:7">
      <c r="A4" s="2" t="s">
        <v>5</v>
      </c>
      <c r="B4" s="6">
        <v>17090</v>
      </c>
      <c r="C4" s="4">
        <f>IF(B4=0," ",VLOOKUP(A4,'US industry averages'!$A$2:$I$95,9))</f>
        <v>1.3599831051822802</v>
      </c>
      <c r="D4" s="5">
        <f t="shared" si="0"/>
        <v>23242.111267565168</v>
      </c>
      <c r="E4" s="7">
        <f t="shared" ref="E4:E20" si="1">IF(B4=0," ",D4/$D$21)</f>
        <v>0.22656531912693967</v>
      </c>
      <c r="F4" s="8">
        <f>IF(B4=0," ",VLOOKUP(A4,'US industry averages'!$A$2:$I$95,8))</f>
        <v>1.0983592603350816</v>
      </c>
      <c r="G4" s="3">
        <f t="shared" ref="G4:G20" si="2">IF(B4=0," ",E4*F4)</f>
        <v>0.24885011633384715</v>
      </c>
    </row>
    <row r="5" spans="1:7">
      <c r="A5" s="2" t="s">
        <v>21</v>
      </c>
      <c r="B5" s="6">
        <v>13964</v>
      </c>
      <c r="C5" s="4">
        <f>IF(B5=0," ",VLOOKUP(A5,'US industry averages'!$A$2:$I$95,9))</f>
        <v>2.6683702336166513</v>
      </c>
      <c r="D5" s="5">
        <f t="shared" si="0"/>
        <v>37261.121942222919</v>
      </c>
      <c r="E5" s="7">
        <f t="shared" si="1"/>
        <v>0.36322337014402983</v>
      </c>
      <c r="F5" s="8">
        <f>IF(B5=0," ",VLOOKUP(A5,'US industry averages'!$A$2:$I$95,8))</f>
        <v>1.0938250803149925</v>
      </c>
      <c r="G5" s="3">
        <f t="shared" si="2"/>
        <v>0.39730283202007566</v>
      </c>
    </row>
    <row r="6" spans="1:7">
      <c r="A6" s="2" t="s">
        <v>1</v>
      </c>
      <c r="B6" s="6">
        <v>8334</v>
      </c>
      <c r="C6" s="4">
        <f>IF(B6=0," ",VLOOKUP(A6,'US industry averages'!$A$2:$I$95,9))</f>
        <v>2.5451075841894681</v>
      </c>
      <c r="D6" s="5">
        <f t="shared" si="0"/>
        <v>21210.926606635028</v>
      </c>
      <c r="E6" s="7">
        <f t="shared" si="1"/>
        <v>0.20676522456532406</v>
      </c>
      <c r="F6" s="8">
        <f>IF(B6=0," ",VLOOKUP(A6,'US industry averages'!$A$2:$I$95,8))</f>
        <v>1.2292962090923658</v>
      </c>
      <c r="G6" s="3">
        <f t="shared" si="2"/>
        <v>0.25417570673028456</v>
      </c>
    </row>
    <row r="7" spans="1:7">
      <c r="A7" s="2" t="s">
        <v>2</v>
      </c>
      <c r="B7" s="6">
        <v>6791</v>
      </c>
      <c r="C7" s="4">
        <f>IF(B7=0," ",VLOOKUP(A7,'US industry averages'!$A$2:$I$95,9))</f>
        <v>1.0151710556389202</v>
      </c>
      <c r="D7" s="5">
        <f t="shared" si="0"/>
        <v>6894.0266388439068</v>
      </c>
      <c r="E7" s="7">
        <f t="shared" si="1"/>
        <v>6.7203333101628418E-2</v>
      </c>
      <c r="F7" s="8">
        <f>IF(B7=0," ",VLOOKUP(A7,'US industry averages'!$A$2:$I$95,8))</f>
        <v>0.69399800343932827</v>
      </c>
      <c r="G7" s="3">
        <f t="shared" si="2"/>
        <v>4.6638978996998245E-2</v>
      </c>
    </row>
    <row r="8" spans="1:7">
      <c r="A8" s="2"/>
      <c r="B8" s="6"/>
      <c r="C8" s="4" t="str">
        <f>IF(B8=0," ",VLOOKUP(A8,'US industry averages'!$A$2:$I$95,9))</f>
        <v xml:space="preserve"> </v>
      </c>
      <c r="D8" s="5" t="str">
        <f t="shared" si="0"/>
        <v xml:space="preserve"> </v>
      </c>
      <c r="E8" s="7" t="str">
        <f t="shared" si="1"/>
        <v xml:space="preserve"> </v>
      </c>
      <c r="F8" s="8" t="str">
        <f>IF(B8=0," ",VLOOKUP(A8,'US industry averages'!$A$2:$I$95,8))</f>
        <v xml:space="preserve"> </v>
      </c>
      <c r="G8" s="3" t="str">
        <f t="shared" si="2"/>
        <v xml:space="preserve"> </v>
      </c>
    </row>
    <row r="9" spans="1:7">
      <c r="A9" s="2"/>
      <c r="B9" s="6"/>
      <c r="C9" s="4" t="str">
        <f>IF(B9=0," ",VLOOKUP(A9,'US industry averages'!$A$2:$I$95,9))</f>
        <v xml:space="preserve"> </v>
      </c>
      <c r="D9" s="5" t="str">
        <f t="shared" ref="D9:D20" si="3">IF(B9=0," ",B9*C9)</f>
        <v xml:space="preserve"> </v>
      </c>
      <c r="E9" s="7" t="str">
        <f t="shared" si="1"/>
        <v xml:space="preserve"> </v>
      </c>
      <c r="F9" s="8" t="str">
        <f>IF(B9=0," ",VLOOKUP(A9,'US industry averages'!$A$2:$I$95,8))</f>
        <v xml:space="preserve"> </v>
      </c>
      <c r="G9" s="3" t="str">
        <f t="shared" si="2"/>
        <v xml:space="preserve"> </v>
      </c>
    </row>
    <row r="10" spans="1:7">
      <c r="A10" s="2"/>
      <c r="B10" s="6"/>
      <c r="C10" s="4" t="str">
        <f>IF(B10=0," ",VLOOKUP(A10,'US industry averages'!$A$2:$I$95,9))</f>
        <v xml:space="preserve"> </v>
      </c>
      <c r="D10" s="5" t="str">
        <f t="shared" si="3"/>
        <v xml:space="preserve"> </v>
      </c>
      <c r="E10" s="7" t="str">
        <f t="shared" si="1"/>
        <v xml:space="preserve"> </v>
      </c>
      <c r="F10" s="8" t="str">
        <f>IF(B10=0," ",VLOOKUP(A10,'US industry averages'!$A$2:$I$95,8))</f>
        <v xml:space="preserve"> </v>
      </c>
      <c r="G10" s="3" t="str">
        <f t="shared" si="2"/>
        <v xml:space="preserve"> </v>
      </c>
    </row>
    <row r="11" spans="1:7">
      <c r="A11" s="2"/>
      <c r="B11" s="6"/>
      <c r="C11" s="4" t="str">
        <f>IF(B11=0," ",VLOOKUP(A11,'US industry averages'!$A$2:$I$95,9))</f>
        <v xml:space="preserve"> </v>
      </c>
      <c r="D11" s="5" t="str">
        <f t="shared" si="3"/>
        <v xml:space="preserve"> </v>
      </c>
      <c r="E11" s="7" t="str">
        <f t="shared" si="1"/>
        <v xml:space="preserve"> </v>
      </c>
      <c r="F11" s="8" t="str">
        <f>IF(B11=0," ",VLOOKUP(A11,'US industry averages'!$A$2:$I$95,8))</f>
        <v xml:space="preserve"> </v>
      </c>
      <c r="G11" s="3" t="str">
        <f t="shared" si="2"/>
        <v xml:space="preserve"> </v>
      </c>
    </row>
    <row r="12" spans="1:7">
      <c r="A12" s="2"/>
      <c r="B12" s="6"/>
      <c r="C12" s="4" t="str">
        <f>IF(B12=0," ",VLOOKUP(A12,'US industry averages'!$A$2:$I$95,9))</f>
        <v xml:space="preserve"> </v>
      </c>
      <c r="D12" s="5" t="str">
        <f t="shared" si="3"/>
        <v xml:space="preserve"> </v>
      </c>
      <c r="E12" s="7" t="str">
        <f t="shared" si="1"/>
        <v xml:space="preserve"> </v>
      </c>
      <c r="F12" s="8" t="str">
        <f>IF(B12=0," ",VLOOKUP(A12,'US industry averages'!$A$2:$I$95,8))</f>
        <v xml:space="preserve"> </v>
      </c>
      <c r="G12" s="3" t="str">
        <f t="shared" si="2"/>
        <v xml:space="preserve"> </v>
      </c>
    </row>
    <row r="13" spans="1:7">
      <c r="A13" s="2"/>
      <c r="B13" s="6"/>
      <c r="C13" s="4" t="str">
        <f>IF(B13=0," ",VLOOKUP(A13,'US industry averages'!$A$2:$I$95,9))</f>
        <v xml:space="preserve"> </v>
      </c>
      <c r="D13" s="5" t="str">
        <f t="shared" si="3"/>
        <v xml:space="preserve"> </v>
      </c>
      <c r="E13" s="7" t="str">
        <f t="shared" si="1"/>
        <v xml:space="preserve"> </v>
      </c>
      <c r="F13" s="8" t="str">
        <f>IF(B13=0," ",VLOOKUP(A13,'US industry averages'!$A$2:$I$95,8))</f>
        <v xml:space="preserve"> </v>
      </c>
      <c r="G13" s="3" t="str">
        <f t="shared" si="2"/>
        <v xml:space="preserve"> </v>
      </c>
    </row>
    <row r="14" spans="1:7">
      <c r="A14" s="2"/>
      <c r="B14" s="6"/>
      <c r="C14" s="4" t="str">
        <f>IF(B14=0," ",VLOOKUP(A14,'US industry averages'!$A$2:$I$95,9))</f>
        <v xml:space="preserve"> </v>
      </c>
      <c r="D14" s="5" t="str">
        <f t="shared" si="3"/>
        <v xml:space="preserve"> </v>
      </c>
      <c r="E14" s="7" t="str">
        <f t="shared" si="1"/>
        <v xml:space="preserve"> </v>
      </c>
      <c r="F14" s="8" t="str">
        <f>IF(B14=0," ",VLOOKUP(A14,'US industry averages'!$A$2:$I$95,8))</f>
        <v xml:space="preserve"> </v>
      </c>
      <c r="G14" s="3" t="str">
        <f t="shared" si="2"/>
        <v xml:space="preserve"> </v>
      </c>
    </row>
    <row r="15" spans="1:7">
      <c r="A15" s="2"/>
      <c r="B15" s="6"/>
      <c r="C15" s="4" t="str">
        <f>IF(B15=0," ",VLOOKUP(A15,'US industry averages'!$A$2:$I$95,9))</f>
        <v xml:space="preserve"> </v>
      </c>
      <c r="D15" s="5" t="str">
        <f t="shared" si="3"/>
        <v xml:space="preserve"> </v>
      </c>
      <c r="E15" s="7" t="str">
        <f t="shared" si="1"/>
        <v xml:space="preserve"> </v>
      </c>
      <c r="F15" s="8" t="str">
        <f>IF(B15=0," ",VLOOKUP(A15,'US industry averages'!$A$2:$I$95,8))</f>
        <v xml:space="preserve"> </v>
      </c>
      <c r="G15" s="3" t="str">
        <f t="shared" si="2"/>
        <v xml:space="preserve"> </v>
      </c>
    </row>
    <row r="16" spans="1:7">
      <c r="A16" s="2"/>
      <c r="B16" s="6"/>
      <c r="C16" s="4" t="str">
        <f>IF(B16=0," ",VLOOKUP(A16,'US industry averages'!$A$2:$I$95,9))</f>
        <v xml:space="preserve"> </v>
      </c>
      <c r="D16" s="5" t="str">
        <f t="shared" si="3"/>
        <v xml:space="preserve"> </v>
      </c>
      <c r="E16" s="7" t="str">
        <f t="shared" si="1"/>
        <v xml:space="preserve"> </v>
      </c>
      <c r="F16" s="8" t="str">
        <f>IF(B16=0," ",VLOOKUP(A16,'US industry averages'!$A$2:$I$95,8))</f>
        <v xml:space="preserve"> </v>
      </c>
      <c r="G16" s="3" t="str">
        <f t="shared" si="2"/>
        <v xml:space="preserve"> </v>
      </c>
    </row>
    <row r="17" spans="1:7">
      <c r="A17" s="2"/>
      <c r="B17" s="6"/>
      <c r="C17" s="4" t="str">
        <f>IF(B17=0," ",VLOOKUP(A17,'US industry averages'!$A$2:$I$95,9))</f>
        <v xml:space="preserve"> </v>
      </c>
      <c r="D17" s="5" t="str">
        <f t="shared" si="3"/>
        <v xml:space="preserve"> </v>
      </c>
      <c r="E17" s="7" t="str">
        <f t="shared" si="1"/>
        <v xml:space="preserve"> </v>
      </c>
      <c r="F17" s="8" t="str">
        <f>IF(B17=0," ",VLOOKUP(A17,'US industry averages'!$A$2:$I$95,8))</f>
        <v xml:space="preserve"> </v>
      </c>
      <c r="G17" s="3" t="str">
        <f t="shared" si="2"/>
        <v xml:space="preserve"> </v>
      </c>
    </row>
    <row r="18" spans="1:7">
      <c r="A18" s="2"/>
      <c r="B18" s="6"/>
      <c r="C18" s="4" t="str">
        <f>IF(B18=0," ",VLOOKUP(A18,'US industry averages'!$A$2:$I$95,9))</f>
        <v xml:space="preserve"> </v>
      </c>
      <c r="D18" s="5" t="str">
        <f t="shared" si="3"/>
        <v xml:space="preserve"> </v>
      </c>
      <c r="E18" s="7" t="str">
        <f t="shared" si="1"/>
        <v xml:space="preserve"> </v>
      </c>
      <c r="F18" s="8" t="str">
        <f>IF(B18=0," ",VLOOKUP(A18,'US industry averages'!$A$2:$I$95,8))</f>
        <v xml:space="preserve"> </v>
      </c>
      <c r="G18" s="3" t="str">
        <f t="shared" si="2"/>
        <v xml:space="preserve"> </v>
      </c>
    </row>
    <row r="19" spans="1:7">
      <c r="A19" s="2"/>
      <c r="B19" s="6"/>
      <c r="C19" s="4" t="str">
        <f>IF(B19=0," ",VLOOKUP(A19,'US industry averages'!$A$2:$I$95,9))</f>
        <v xml:space="preserve"> </v>
      </c>
      <c r="D19" s="5" t="str">
        <f t="shared" si="3"/>
        <v xml:space="preserve"> </v>
      </c>
      <c r="E19" s="7" t="str">
        <f t="shared" si="1"/>
        <v xml:space="preserve"> </v>
      </c>
      <c r="F19" s="8" t="str">
        <f>IF(B19=0," ",VLOOKUP(A19,'US industry averages'!$A$2:$I$95,8))</f>
        <v xml:space="preserve"> </v>
      </c>
      <c r="G19" s="3" t="str">
        <f t="shared" si="2"/>
        <v xml:space="preserve"> </v>
      </c>
    </row>
    <row r="20" spans="1:7" ht="17" thickBot="1">
      <c r="A20" s="2"/>
      <c r="B20" s="42"/>
      <c r="C20" s="43" t="str">
        <f>IF(B20=0," ",VLOOKUP(A20,'US industry averages'!$A$2:$I$95,9))</f>
        <v xml:space="preserve"> </v>
      </c>
      <c r="D20" s="44" t="str">
        <f t="shared" si="3"/>
        <v xml:space="preserve"> </v>
      </c>
      <c r="E20" s="45" t="str">
        <f t="shared" si="1"/>
        <v xml:space="preserve"> </v>
      </c>
      <c r="F20" s="46" t="str">
        <f>IF(B20=0," ",VLOOKUP(A20,'US industry averages'!$A$2:$I$95,8))</f>
        <v xml:space="preserve"> </v>
      </c>
      <c r="G20" s="47" t="str">
        <f t="shared" si="2"/>
        <v xml:space="preserve"> </v>
      </c>
    </row>
    <row r="21" spans="1:7" ht="17" thickBot="1">
      <c r="A21" s="48" t="s">
        <v>51</v>
      </c>
      <c r="B21" s="49">
        <f>SUM(B3:B20)</f>
        <v>58235</v>
      </c>
      <c r="C21" s="50"/>
      <c r="D21" s="49">
        <f>SUM(D3:D20)</f>
        <v>102584.59395783833</v>
      </c>
      <c r="E21" s="51">
        <f>SUM(E3:E7)</f>
        <v>1</v>
      </c>
      <c r="F21" s="52"/>
      <c r="G21" s="53">
        <f>SUM(G3:G20)</f>
        <v>1.0854420083696779</v>
      </c>
    </row>
    <row r="23" spans="1:7">
      <c r="A23" s="1" t="s">
        <v>42</v>
      </c>
    </row>
    <row r="24" spans="1:7">
      <c r="A24" t="s">
        <v>43</v>
      </c>
      <c r="B24" s="41">
        <v>4819</v>
      </c>
    </row>
    <row r="25" spans="1:7">
      <c r="A25" t="s">
        <v>44</v>
      </c>
      <c r="B25" s="41">
        <f>'Market value of debt'!$B$7</f>
        <v>24019.940934605132</v>
      </c>
      <c r="C25" t="s">
        <v>213</v>
      </c>
    </row>
    <row r="26" spans="1:7">
      <c r="A26" t="s">
        <v>45</v>
      </c>
      <c r="B26" s="41">
        <f>'Lease conversion'!C34</f>
        <v>2265.0252501500167</v>
      </c>
      <c r="C26" t="s">
        <v>212</v>
      </c>
    </row>
    <row r="27" spans="1:7">
      <c r="A27" t="s">
        <v>46</v>
      </c>
      <c r="B27" s="41">
        <v>84050</v>
      </c>
    </row>
    <row r="28" spans="1:7">
      <c r="A28" t="s">
        <v>84</v>
      </c>
      <c r="B28" s="40">
        <v>0.24</v>
      </c>
      <c r="C28" t="s">
        <v>211</v>
      </c>
    </row>
    <row r="29" spans="1:7" ht="17" thickBot="1"/>
    <row r="30" spans="1:7" ht="17" thickBot="1">
      <c r="A30" t="s">
        <v>79</v>
      </c>
      <c r="B30" s="38">
        <f>G21</f>
        <v>1.0854420083696779</v>
      </c>
    </row>
    <row r="31" spans="1:7" ht="17" thickBot="1">
      <c r="A31" t="s">
        <v>80</v>
      </c>
      <c r="B31" s="38">
        <f>G21*D21/(D21+B24)+0*(B24/(B24+D21))</f>
        <v>1.0367402392241609</v>
      </c>
    </row>
    <row r="33" spans="1:3" ht="17" thickBot="1">
      <c r="A33" t="s">
        <v>81</v>
      </c>
      <c r="B33" s="7">
        <f>(B25+B26)/B27</f>
        <v>0.31273011522611721</v>
      </c>
    </row>
    <row r="34" spans="1:3" ht="17" thickBot="1">
      <c r="A34" t="s">
        <v>82</v>
      </c>
      <c r="B34" s="38">
        <f>B30*(1+(1-B28)*B33)</f>
        <v>1.343424315674703</v>
      </c>
      <c r="C34" t="s">
        <v>221</v>
      </c>
    </row>
    <row r="35" spans="1:3" ht="17" thickBot="1">
      <c r="A35" t="s">
        <v>83</v>
      </c>
      <c r="B35" s="39">
        <f>B31*(1+(1-0.4)*B33)</f>
        <v>1.2312721759074354</v>
      </c>
      <c r="C35" t="s">
        <v>222</v>
      </c>
    </row>
    <row r="36" spans="1:3">
      <c r="C36" t="s">
        <v>223</v>
      </c>
    </row>
  </sheetData>
  <pageMargins left="0.75" right="0.75" top="1" bottom="1" header="0.5" footer="0.5"/>
  <pageSetup orientation="portrait" horizontalDpi="4294967292" verticalDpi="429496729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'US industry averages'!$A$1:$A$95</xm:f>
          </x14:formula1>
          <xm:sqref>A3:A20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6"/>
  <sheetViews>
    <sheetView topLeftCell="A69" workbookViewId="0">
      <selection activeCell="A2" sqref="A2:I96"/>
    </sheetView>
  </sheetViews>
  <sheetFormatPr baseColWidth="10" defaultRowHeight="16"/>
  <cols>
    <col min="1" max="1" width="20.5" bestFit="1" customWidth="1"/>
    <col min="2" max="2" width="15.1640625" customWidth="1"/>
    <col min="3" max="3" width="12.1640625" bestFit="1" customWidth="1"/>
    <col min="4" max="4" width="15.33203125" bestFit="1" customWidth="1"/>
    <col min="5" max="5" width="9.6640625" customWidth="1"/>
    <col min="6" max="6" width="14.6640625" customWidth="1"/>
    <col min="7" max="7" width="15.1640625" customWidth="1"/>
    <col min="8" max="8" width="28.6640625" bestFit="1" customWidth="1"/>
    <col min="9" max="9" width="9.83203125" style="66" customWidth="1"/>
  </cols>
  <sheetData>
    <row r="1" spans="1:9" ht="29">
      <c r="A1" s="63" t="s">
        <v>343</v>
      </c>
      <c r="B1" s="59" t="s">
        <v>291</v>
      </c>
      <c r="C1" s="64" t="s">
        <v>292</v>
      </c>
      <c r="D1" s="59" t="s">
        <v>293</v>
      </c>
      <c r="E1" s="59" t="s">
        <v>298</v>
      </c>
      <c r="F1" s="59" t="s">
        <v>294</v>
      </c>
      <c r="G1" s="59" t="s">
        <v>295</v>
      </c>
      <c r="H1" s="59" t="s">
        <v>296</v>
      </c>
      <c r="I1" s="74" t="s">
        <v>47</v>
      </c>
    </row>
    <row r="2" spans="1:9" ht="29">
      <c r="A2" s="63" t="s">
        <v>343</v>
      </c>
      <c r="B2" s="59" t="s">
        <v>291</v>
      </c>
      <c r="C2" s="64" t="s">
        <v>292</v>
      </c>
      <c r="D2" s="59" t="s">
        <v>293</v>
      </c>
      <c r="E2" s="59" t="s">
        <v>298</v>
      </c>
      <c r="F2" s="59" t="s">
        <v>294</v>
      </c>
      <c r="G2" s="59" t="s">
        <v>295</v>
      </c>
      <c r="H2" s="59" t="s">
        <v>296</v>
      </c>
      <c r="I2" s="75" t="s">
        <v>47</v>
      </c>
    </row>
    <row r="3" spans="1:9">
      <c r="A3" s="65" t="s">
        <v>0</v>
      </c>
      <c r="B3" s="60">
        <v>58</v>
      </c>
      <c r="C3" s="61">
        <v>1.6317380595347237</v>
      </c>
      <c r="D3" s="62">
        <v>0.44988944828853072</v>
      </c>
      <c r="E3" s="62">
        <v>6.3905088196058474E-2</v>
      </c>
      <c r="F3" s="61">
        <v>1.2200667064535347</v>
      </c>
      <c r="G3" s="62">
        <v>9.3488853578428122E-2</v>
      </c>
      <c r="H3" s="61">
        <v>1.3458926691301203</v>
      </c>
      <c r="I3" s="76">
        <v>1.9623441180972629</v>
      </c>
    </row>
    <row r="4" spans="1:9">
      <c r="A4" s="65" t="s">
        <v>1</v>
      </c>
      <c r="B4" s="60">
        <v>77</v>
      </c>
      <c r="C4" s="61">
        <v>1.4141822802591859</v>
      </c>
      <c r="D4" s="62">
        <v>0.26057120698012032</v>
      </c>
      <c r="E4" s="62">
        <v>8.602766440767734E-2</v>
      </c>
      <c r="F4" s="61">
        <v>1.1829920337061723</v>
      </c>
      <c r="G4" s="62">
        <v>3.7667223768941376E-2</v>
      </c>
      <c r="H4" s="61">
        <v>1.2292962090923658</v>
      </c>
      <c r="I4" s="76">
        <v>2.5451075841894681</v>
      </c>
    </row>
    <row r="5" spans="1:9">
      <c r="A5" s="65" t="s">
        <v>2</v>
      </c>
      <c r="B5" s="60">
        <v>21</v>
      </c>
      <c r="C5" s="61">
        <v>1.4159650876966507</v>
      </c>
      <c r="D5" s="62">
        <v>1.8633437109872604</v>
      </c>
      <c r="E5" s="62">
        <v>0.10471812677937932</v>
      </c>
      <c r="F5" s="61">
        <v>0.59059874491120445</v>
      </c>
      <c r="G5" s="62">
        <v>0.14899071469326405</v>
      </c>
      <c r="H5" s="61">
        <v>0.69399800343932827</v>
      </c>
      <c r="I5" s="76">
        <v>1.0151710556389202</v>
      </c>
    </row>
    <row r="6" spans="1:9">
      <c r="A6" s="65" t="s">
        <v>3</v>
      </c>
      <c r="B6" s="60">
        <v>39</v>
      </c>
      <c r="C6" s="61">
        <v>1.3246974025641622</v>
      </c>
      <c r="D6" s="62">
        <v>0.5157235161320588</v>
      </c>
      <c r="E6" s="62">
        <v>0.12038118261958633</v>
      </c>
      <c r="F6" s="61">
        <v>0.95522385043464364</v>
      </c>
      <c r="G6" s="62">
        <v>6.0170317847693479E-2</v>
      </c>
      <c r="H6" s="61">
        <v>1.0163797426008965</v>
      </c>
      <c r="I6" s="76">
        <v>1.1592906024030611</v>
      </c>
    </row>
    <row r="7" spans="1:9">
      <c r="A7" s="65" t="s">
        <v>224</v>
      </c>
      <c r="B7" s="60">
        <v>31</v>
      </c>
      <c r="C7" s="61">
        <v>1.5405976750533805</v>
      </c>
      <c r="D7" s="62">
        <v>0.50190983747582518</v>
      </c>
      <c r="E7" s="62">
        <v>2.9973504818388647E-2</v>
      </c>
      <c r="F7" s="61">
        <v>1.119268697509356</v>
      </c>
      <c r="G7" s="62">
        <v>8.6707773582228378E-2</v>
      </c>
      <c r="H7" s="61">
        <v>1.2255318343171395</v>
      </c>
      <c r="I7" s="76">
        <v>1.8115110523190732</v>
      </c>
    </row>
    <row r="8" spans="1:9">
      <c r="A8" s="65" t="s">
        <v>4</v>
      </c>
      <c r="B8" s="60">
        <v>37</v>
      </c>
      <c r="C8" s="61">
        <v>1.4739918130238336</v>
      </c>
      <c r="D8" s="62">
        <v>0.4265540414760251</v>
      </c>
      <c r="E8" s="62">
        <v>9.2966768218859283E-2</v>
      </c>
      <c r="F8" s="61">
        <v>1.1167319258586119</v>
      </c>
      <c r="G8" s="62">
        <v>7.1275726876243464E-2</v>
      </c>
      <c r="H8" s="61">
        <v>1.202436458457679</v>
      </c>
      <c r="I8" s="76">
        <v>0.82277242784956561</v>
      </c>
    </row>
    <row r="9" spans="1:9">
      <c r="A9" s="65" t="s">
        <v>225</v>
      </c>
      <c r="B9" s="60">
        <v>7</v>
      </c>
      <c r="C9" s="61">
        <v>1.0801015876287672</v>
      </c>
      <c r="D9" s="62">
        <v>2.1638477432836223</v>
      </c>
      <c r="E9" s="62">
        <v>0.16253159242370313</v>
      </c>
      <c r="F9" s="61">
        <v>0.41179893709273513</v>
      </c>
      <c r="G9" s="62">
        <v>0.44301926004171199</v>
      </c>
      <c r="H9" s="61">
        <v>0.73934143059161173</v>
      </c>
      <c r="I9" s="76">
        <v>4.4949345620830741</v>
      </c>
    </row>
    <row r="10" spans="1:9">
      <c r="A10" s="65" t="s">
        <v>226</v>
      </c>
      <c r="B10" s="60">
        <v>557</v>
      </c>
      <c r="C10" s="61">
        <v>0.50487423475647786</v>
      </c>
      <c r="D10" s="62">
        <v>0.64619811083770839</v>
      </c>
      <c r="E10" s="62">
        <v>0.18838462629709835</v>
      </c>
      <c r="F10" s="61">
        <v>0.34006312368726666</v>
      </c>
      <c r="G10" s="62">
        <v>0.1765640030797172</v>
      </c>
      <c r="H10" s="61">
        <v>0.41298063839707061</v>
      </c>
      <c r="I10" s="76">
        <v>4.3436213032827986</v>
      </c>
    </row>
    <row r="11" spans="1:9">
      <c r="A11" s="65" t="s">
        <v>227</v>
      </c>
      <c r="B11" s="60">
        <v>23</v>
      </c>
      <c r="C11" s="61">
        <v>1.0129742331996445</v>
      </c>
      <c r="D11" s="62">
        <v>0.22909687972770462</v>
      </c>
      <c r="E11" s="62">
        <v>9.3937841767617533E-2</v>
      </c>
      <c r="F11" s="61">
        <v>0.86444328818166272</v>
      </c>
      <c r="G11" s="62">
        <v>1.8550558673249666E-2</v>
      </c>
      <c r="H11" s="61">
        <v>0.88078229176337852</v>
      </c>
      <c r="I11" s="76">
        <v>4.0713428168470944</v>
      </c>
    </row>
    <row r="12" spans="1:9">
      <c r="A12" s="65" t="s">
        <v>228</v>
      </c>
      <c r="B12" s="60">
        <v>31</v>
      </c>
      <c r="C12" s="61">
        <v>1.3034433070435496</v>
      </c>
      <c r="D12" s="62">
        <v>0.1526904463074982</v>
      </c>
      <c r="E12" s="62">
        <v>6.4164664471146424E-2</v>
      </c>
      <c r="F12" s="61">
        <v>1.1695131889554631</v>
      </c>
      <c r="G12" s="62">
        <v>2.655230937298967E-2</v>
      </c>
      <c r="H12" s="61">
        <v>1.2014134916712005</v>
      </c>
      <c r="I12" s="76">
        <v>4.6668573425784556</v>
      </c>
    </row>
    <row r="13" spans="1:9">
      <c r="A13" s="65" t="s">
        <v>229</v>
      </c>
      <c r="B13" s="60">
        <v>26</v>
      </c>
      <c r="C13" s="61">
        <v>1.3220586425472229</v>
      </c>
      <c r="D13" s="62">
        <v>1.4683207619722523</v>
      </c>
      <c r="E13" s="62">
        <v>0.15763232212904729</v>
      </c>
      <c r="F13" s="61">
        <v>0.62918004748811163</v>
      </c>
      <c r="G13" s="62">
        <v>0.10393630501139743</v>
      </c>
      <c r="H13" s="61">
        <v>0.70215995917133367</v>
      </c>
      <c r="I13" s="76">
        <v>1.327352847501104</v>
      </c>
    </row>
    <row r="14" spans="1:9">
      <c r="A14" s="65" t="s">
        <v>230</v>
      </c>
      <c r="B14" s="60">
        <v>30</v>
      </c>
      <c r="C14" s="61">
        <v>1.2048082896180194</v>
      </c>
      <c r="D14" s="62">
        <v>2.0108831543010175</v>
      </c>
      <c r="E14" s="62">
        <v>0.15316532055412033</v>
      </c>
      <c r="F14" s="61">
        <v>0.48035498262864479</v>
      </c>
      <c r="G14" s="62">
        <v>0.30759698309671335</v>
      </c>
      <c r="H14" s="61">
        <v>0.69375056275316571</v>
      </c>
      <c r="I14" s="76">
        <v>4.4584614233683109</v>
      </c>
    </row>
    <row r="15" spans="1:9">
      <c r="A15" s="65" t="s">
        <v>5</v>
      </c>
      <c r="B15" s="60">
        <v>45</v>
      </c>
      <c r="C15" s="61">
        <v>1.277280094823728</v>
      </c>
      <c r="D15" s="62">
        <v>0.28926208389857394</v>
      </c>
      <c r="E15" s="62">
        <v>0.16705684920922526</v>
      </c>
      <c r="F15" s="61">
        <v>1.0495777988433901</v>
      </c>
      <c r="G15" s="62">
        <v>4.4413028827024706E-2</v>
      </c>
      <c r="H15" s="61">
        <v>1.0983592603350816</v>
      </c>
      <c r="I15" s="76">
        <v>1.3599831051822802</v>
      </c>
    </row>
    <row r="16" spans="1:9">
      <c r="A16" s="65" t="s">
        <v>231</v>
      </c>
      <c r="B16" s="60">
        <v>164</v>
      </c>
      <c r="C16" s="61">
        <v>1.1709200204529924</v>
      </c>
      <c r="D16" s="62">
        <v>0.27473813403561204</v>
      </c>
      <c r="E16" s="62">
        <v>9.426309087876697E-2</v>
      </c>
      <c r="F16" s="61">
        <v>0.97086897293920182</v>
      </c>
      <c r="G16" s="62">
        <v>4.8045201312521844E-2</v>
      </c>
      <c r="H16" s="61">
        <v>1.0198687734730703</v>
      </c>
      <c r="I16" s="76">
        <v>2.0548295737776865</v>
      </c>
    </row>
    <row r="17" spans="1:9">
      <c r="A17" s="65" t="s">
        <v>6</v>
      </c>
      <c r="B17" s="60">
        <v>10</v>
      </c>
      <c r="C17" s="61">
        <v>1.2551641961018303</v>
      </c>
      <c r="D17" s="62">
        <v>1.0726584461257194</v>
      </c>
      <c r="E17" s="62">
        <v>0.21948943063387358</v>
      </c>
      <c r="F17" s="61">
        <v>0.69557688257994688</v>
      </c>
      <c r="G17" s="62">
        <v>1.4652309221875827E-2</v>
      </c>
      <c r="H17" s="61">
        <v>0.70592024428519573</v>
      </c>
      <c r="I17" s="76">
        <v>2.4271351695921024</v>
      </c>
    </row>
    <row r="18" spans="1:9">
      <c r="A18" s="65" t="s">
        <v>7</v>
      </c>
      <c r="B18" s="60">
        <v>38</v>
      </c>
      <c r="C18" s="61">
        <v>1.2471014770997904</v>
      </c>
      <c r="D18" s="62">
        <v>0.48300567282668855</v>
      </c>
      <c r="E18" s="62">
        <v>9.8288916826142728E-2</v>
      </c>
      <c r="F18" s="61">
        <v>0.91546895366287806</v>
      </c>
      <c r="G18" s="62">
        <v>4.5382199797510112E-2</v>
      </c>
      <c r="H18" s="61">
        <v>0.95899003084657786</v>
      </c>
      <c r="I18" s="76">
        <v>0.88799068286034366</v>
      </c>
    </row>
    <row r="19" spans="1:9">
      <c r="A19" s="65" t="s">
        <v>8</v>
      </c>
      <c r="B19" s="60">
        <v>4</v>
      </c>
      <c r="C19" s="61">
        <v>1.4125912305600932</v>
      </c>
      <c r="D19" s="62">
        <v>0.58242118157245371</v>
      </c>
      <c r="E19" s="62">
        <v>0.12024424146819795</v>
      </c>
      <c r="F19" s="61">
        <v>0.98314004191332871</v>
      </c>
      <c r="G19" s="62">
        <v>9.8248914040228272E-2</v>
      </c>
      <c r="H19" s="61">
        <v>1.0902565654988166</v>
      </c>
      <c r="I19" s="76">
        <v>0.91038112399398097</v>
      </c>
    </row>
    <row r="20" spans="1:9">
      <c r="A20" s="65" t="s">
        <v>9</v>
      </c>
      <c r="B20" s="60">
        <v>76</v>
      </c>
      <c r="C20" s="61">
        <v>1.2772947079305697</v>
      </c>
      <c r="D20" s="62">
        <v>0.27404332014115201</v>
      </c>
      <c r="E20" s="62">
        <v>0.10749764638974661</v>
      </c>
      <c r="F20" s="61">
        <v>1.0595274025492285</v>
      </c>
      <c r="G20" s="62">
        <v>4.9966819284392533E-2</v>
      </c>
      <c r="H20" s="61">
        <v>1.1152530501630955</v>
      </c>
      <c r="I20" s="76">
        <v>2.4784833446872629</v>
      </c>
    </row>
    <row r="21" spans="1:9">
      <c r="A21" s="65" t="s">
        <v>232</v>
      </c>
      <c r="B21" s="60">
        <v>19</v>
      </c>
      <c r="C21" s="61">
        <v>1.4521788818808701</v>
      </c>
      <c r="D21" s="62">
        <v>0.21708836405146484</v>
      </c>
      <c r="E21" s="62">
        <v>2.2762442840657152E-2</v>
      </c>
      <c r="F21" s="61">
        <v>1.2488463702749251</v>
      </c>
      <c r="G21" s="62">
        <v>0.12601748160559528</v>
      </c>
      <c r="H21" s="61">
        <v>1.4289145880963197</v>
      </c>
      <c r="I21" s="76">
        <v>1.4317347621068663</v>
      </c>
    </row>
    <row r="22" spans="1:9">
      <c r="A22" s="65" t="s">
        <v>233</v>
      </c>
      <c r="B22" s="60">
        <v>80</v>
      </c>
      <c r="C22" s="61">
        <v>1.1713869322889647</v>
      </c>
      <c r="D22" s="62">
        <v>0.32563052145455873</v>
      </c>
      <c r="E22" s="62">
        <v>6.4707619952578926E-2</v>
      </c>
      <c r="F22" s="61">
        <v>0.94146068254853232</v>
      </c>
      <c r="G22" s="62">
        <v>5.2114354259030375E-2</v>
      </c>
      <c r="H22" s="61">
        <v>0.99322179503265406</v>
      </c>
      <c r="I22" s="76">
        <v>1.1705516509622818</v>
      </c>
    </row>
    <row r="23" spans="1:9">
      <c r="A23" s="65" t="s">
        <v>10</v>
      </c>
      <c r="B23" s="60">
        <v>42</v>
      </c>
      <c r="C23" s="61">
        <v>1.2910863648381774</v>
      </c>
      <c r="D23" s="62">
        <v>9.5226989386829622E-2</v>
      </c>
      <c r="E23" s="62">
        <v>9.1326261969354353E-2</v>
      </c>
      <c r="F23" s="61">
        <v>1.2050233084823772</v>
      </c>
      <c r="G23" s="62">
        <v>1.7944827521250071E-2</v>
      </c>
      <c r="H23" s="61">
        <v>1.2270423722130051</v>
      </c>
      <c r="I23" s="76">
        <v>3.6675154478583059</v>
      </c>
    </row>
    <row r="24" spans="1:9">
      <c r="A24" s="65" t="s">
        <v>234</v>
      </c>
      <c r="B24" s="60">
        <v>49</v>
      </c>
      <c r="C24" s="61">
        <v>1.2643960028602219</v>
      </c>
      <c r="D24" s="62">
        <v>0.30126277175061744</v>
      </c>
      <c r="E24" s="62">
        <v>0.10517907237686368</v>
      </c>
      <c r="F24" s="61">
        <v>1.0313626295227094</v>
      </c>
      <c r="G24" s="62">
        <v>4.153892916080696E-2</v>
      </c>
      <c r="H24" s="61">
        <v>1.0760610533922743</v>
      </c>
      <c r="I24" s="76">
        <v>2.149130072951404</v>
      </c>
    </row>
    <row r="25" spans="1:9">
      <c r="A25" s="65" t="s">
        <v>235</v>
      </c>
      <c r="B25" s="60">
        <v>23</v>
      </c>
      <c r="C25" s="61">
        <v>1.0382284747790869</v>
      </c>
      <c r="D25" s="62">
        <v>0.21236570626489795</v>
      </c>
      <c r="E25" s="62">
        <v>2.9800285457986134E-2</v>
      </c>
      <c r="F25" s="61">
        <v>0.89558484386365433</v>
      </c>
      <c r="G25" s="62">
        <v>4.6739475865868324E-2</v>
      </c>
      <c r="H25" s="61">
        <v>0.93949641382363391</v>
      </c>
      <c r="I25" s="76">
        <v>2.497073337847707</v>
      </c>
    </row>
    <row r="26" spans="1:9">
      <c r="A26" s="65" t="s">
        <v>236</v>
      </c>
      <c r="B26" s="60">
        <v>598</v>
      </c>
      <c r="C26" s="61">
        <v>1.2417422800706084</v>
      </c>
      <c r="D26" s="62">
        <v>0.1532086421175077</v>
      </c>
      <c r="E26" s="62">
        <v>9.3669880911142409E-3</v>
      </c>
      <c r="F26" s="61">
        <v>1.1137636210543922</v>
      </c>
      <c r="G26" s="62">
        <v>7.1437251488811804E-2</v>
      </c>
      <c r="H26" s="61">
        <v>1.1994489579084946</v>
      </c>
      <c r="I26" s="76">
        <v>6.1848374689664327</v>
      </c>
    </row>
    <row r="27" spans="1:9">
      <c r="A27" s="65" t="s">
        <v>237</v>
      </c>
      <c r="B27" s="60">
        <v>281</v>
      </c>
      <c r="C27" s="61">
        <v>1.2680061555196915</v>
      </c>
      <c r="D27" s="62">
        <v>0.13615574045546022</v>
      </c>
      <c r="E27" s="62">
        <v>2.373947361492524E-2</v>
      </c>
      <c r="F27" s="61">
        <v>1.1505188464363174</v>
      </c>
      <c r="G27" s="62">
        <v>2.5649637421181277E-2</v>
      </c>
      <c r="H27" s="61">
        <v>1.1808060946282533</v>
      </c>
      <c r="I27" s="76">
        <v>4.8507972602124285</v>
      </c>
    </row>
    <row r="28" spans="1:9">
      <c r="A28" s="65" t="s">
        <v>238</v>
      </c>
      <c r="B28" s="60">
        <v>33</v>
      </c>
      <c r="C28" s="61">
        <v>1.1008288893194806</v>
      </c>
      <c r="D28" s="62">
        <v>0.30610420787144932</v>
      </c>
      <c r="E28" s="62">
        <v>7.0982357458296813E-2</v>
      </c>
      <c r="F28" s="61">
        <v>0.89528988786443453</v>
      </c>
      <c r="G28" s="62">
        <v>9.9048605897792408E-2</v>
      </c>
      <c r="H28" s="61">
        <v>0.99371608027377023</v>
      </c>
      <c r="I28" s="76">
        <v>1.8499312364405511</v>
      </c>
    </row>
    <row r="29" spans="1:9">
      <c r="A29" s="65" t="s">
        <v>11</v>
      </c>
      <c r="B29" s="60">
        <v>110</v>
      </c>
      <c r="C29" s="61">
        <v>1.5896686619511227</v>
      </c>
      <c r="D29" s="62">
        <v>0.22517897119319411</v>
      </c>
      <c r="E29" s="62">
        <v>4.468854824762538E-2</v>
      </c>
      <c r="F29" s="61">
        <v>1.3599881180140871</v>
      </c>
      <c r="G29" s="62">
        <v>5.0721749418674862E-2</v>
      </c>
      <c r="H29" s="61">
        <v>1.4326548798323873</v>
      </c>
      <c r="I29" s="76">
        <v>2.7669115666624866</v>
      </c>
    </row>
    <row r="30" spans="1:9">
      <c r="A30" s="65" t="s">
        <v>239</v>
      </c>
      <c r="B30" s="60">
        <v>16</v>
      </c>
      <c r="C30" s="61">
        <v>1.5389191240889379</v>
      </c>
      <c r="D30" s="62">
        <v>0.16454415358129629</v>
      </c>
      <c r="E30" s="62">
        <v>3.9839422941665745E-2</v>
      </c>
      <c r="F30" s="61">
        <v>1.3698664833253236</v>
      </c>
      <c r="G30" s="62">
        <v>0.15076516748919444</v>
      </c>
      <c r="H30" s="61">
        <v>1.6130596990178139</v>
      </c>
      <c r="I30" s="76">
        <v>0.77629031014858285</v>
      </c>
    </row>
    <row r="31" spans="1:9">
      <c r="A31" s="65" t="s">
        <v>240</v>
      </c>
      <c r="B31" s="60">
        <v>138</v>
      </c>
      <c r="C31" s="61">
        <v>1.2012527647557136</v>
      </c>
      <c r="D31" s="62">
        <v>0.18815296717148403</v>
      </c>
      <c r="E31" s="62">
        <v>6.2906519672550273E-2</v>
      </c>
      <c r="F31" s="61">
        <v>1.0527011334089542</v>
      </c>
      <c r="G31" s="62">
        <v>5.6857387672521964E-2</v>
      </c>
      <c r="H31" s="61">
        <v>1.1161632606240839</v>
      </c>
      <c r="I31" s="76">
        <v>1.9376194589256814</v>
      </c>
    </row>
    <row r="32" spans="1:9">
      <c r="A32" s="65" t="s">
        <v>241</v>
      </c>
      <c r="B32" s="60">
        <v>43</v>
      </c>
      <c r="C32" s="61">
        <v>1.1967640138319908</v>
      </c>
      <c r="D32" s="62">
        <v>0.3159216597803674</v>
      </c>
      <c r="E32" s="62">
        <v>0.13296156731028333</v>
      </c>
      <c r="F32" s="61">
        <v>0.96751888485322912</v>
      </c>
      <c r="G32" s="62">
        <v>4.9237983688661585E-2</v>
      </c>
      <c r="H32" s="61">
        <v>1.0176246718468016</v>
      </c>
      <c r="I32" s="76">
        <v>1.0830755880289851</v>
      </c>
    </row>
    <row r="33" spans="1:9">
      <c r="A33" s="65" t="s">
        <v>12</v>
      </c>
      <c r="B33" s="60">
        <v>110</v>
      </c>
      <c r="C33" s="61">
        <v>1.4497950169593838</v>
      </c>
      <c r="D33" s="62">
        <v>0.33280500111802513</v>
      </c>
      <c r="E33" s="62">
        <v>3.4485773715445603E-2</v>
      </c>
      <c r="F33" s="61">
        <v>1.1602037973929984</v>
      </c>
      <c r="G33" s="62">
        <v>6.9023482536863676E-2</v>
      </c>
      <c r="H33" s="61">
        <v>1.2462224080092748</v>
      </c>
      <c r="I33" s="76">
        <v>3.0598123732084623</v>
      </c>
    </row>
    <row r="34" spans="1:9">
      <c r="A34" s="65" t="s">
        <v>242</v>
      </c>
      <c r="B34" s="60">
        <v>62</v>
      </c>
      <c r="C34" s="61">
        <v>1.0153454106826958</v>
      </c>
      <c r="D34" s="62">
        <v>0.25536486314909534</v>
      </c>
      <c r="E34" s="62">
        <v>5.4211005912351659E-2</v>
      </c>
      <c r="F34" s="61">
        <v>0.85214037751646321</v>
      </c>
      <c r="G34" s="62">
        <v>8.1137078092717446E-3</v>
      </c>
      <c r="H34" s="61">
        <v>0.85911095276292671</v>
      </c>
      <c r="I34" s="76">
        <v>3.0346407791089263</v>
      </c>
    </row>
    <row r="35" spans="1:9">
      <c r="A35" s="65" t="s">
        <v>243</v>
      </c>
      <c r="B35" s="60">
        <v>39</v>
      </c>
      <c r="C35" s="61">
        <v>1.1403135761675725</v>
      </c>
      <c r="D35" s="62">
        <v>0.33866680168767294</v>
      </c>
      <c r="E35" s="62">
        <v>6.6354615342110748E-2</v>
      </c>
      <c r="F35" s="61">
        <v>0.90934089639751225</v>
      </c>
      <c r="G35" s="62">
        <v>2.3316489175641959E-2</v>
      </c>
      <c r="H35" s="61">
        <v>0.93104970680829247</v>
      </c>
      <c r="I35" s="76">
        <v>1.2248382413417702</v>
      </c>
    </row>
    <row r="36" spans="1:9">
      <c r="A36" s="65" t="s">
        <v>244</v>
      </c>
      <c r="B36" s="60">
        <v>223</v>
      </c>
      <c r="C36" s="61">
        <v>0.88572507363771524</v>
      </c>
      <c r="D36" s="62">
        <v>10.043963353993375</v>
      </c>
      <c r="E36" s="62">
        <v>0.14608585547831091</v>
      </c>
      <c r="F36" s="61">
        <v>0.10380029609017566</v>
      </c>
      <c r="G36" s="62">
        <v>2.23635951229793E-2</v>
      </c>
      <c r="H36" s="61">
        <v>0.10617474510192053</v>
      </c>
      <c r="I36" s="76">
        <v>23.486787015859328</v>
      </c>
    </row>
    <row r="37" spans="1:9">
      <c r="A37" s="65" t="s">
        <v>13</v>
      </c>
      <c r="B37" s="60">
        <v>92</v>
      </c>
      <c r="C37" s="61">
        <v>0.91752023311739583</v>
      </c>
      <c r="D37" s="62">
        <v>0.28857870023567972</v>
      </c>
      <c r="E37" s="62">
        <v>7.7369309042831444E-2</v>
      </c>
      <c r="F37" s="61">
        <v>0.75427044469926852</v>
      </c>
      <c r="G37" s="62">
        <v>1.87364939663376E-2</v>
      </c>
      <c r="H37" s="61">
        <v>0.76867267564864794</v>
      </c>
      <c r="I37" s="76">
        <v>2.099541082262578</v>
      </c>
    </row>
    <row r="38" spans="1:9">
      <c r="A38" s="65" t="s">
        <v>245</v>
      </c>
      <c r="B38" s="60">
        <v>14</v>
      </c>
      <c r="C38" s="61">
        <v>1.1237058272854066</v>
      </c>
      <c r="D38" s="62">
        <v>0.4615645897310518</v>
      </c>
      <c r="E38" s="62">
        <v>0.11937255281975857</v>
      </c>
      <c r="F38" s="61">
        <v>0.83474074883466065</v>
      </c>
      <c r="G38" s="62">
        <v>1.2964298755208017E-2</v>
      </c>
      <c r="H38" s="61">
        <v>0.84570471745037612</v>
      </c>
      <c r="I38" s="76">
        <v>0.41461800975807755</v>
      </c>
    </row>
    <row r="39" spans="1:9">
      <c r="A39" s="65" t="s">
        <v>14</v>
      </c>
      <c r="B39" s="60">
        <v>32</v>
      </c>
      <c r="C39" s="61">
        <v>1.2708955631991046</v>
      </c>
      <c r="D39" s="62">
        <v>0.55936201185575507</v>
      </c>
      <c r="E39" s="62">
        <v>0.12672224018253109</v>
      </c>
      <c r="F39" s="61">
        <v>0.89529856028124566</v>
      </c>
      <c r="G39" s="62">
        <v>5.9473625852007939E-2</v>
      </c>
      <c r="H39" s="61">
        <v>0.95191223222451615</v>
      </c>
      <c r="I39" s="76">
        <v>0.87935524110573271</v>
      </c>
    </row>
    <row r="40" spans="1:9">
      <c r="A40" s="65" t="s">
        <v>246</v>
      </c>
      <c r="B40" s="60">
        <v>19</v>
      </c>
      <c r="C40" s="61">
        <v>1.60070111091836</v>
      </c>
      <c r="D40" s="62">
        <v>1.2111640347849206</v>
      </c>
      <c r="E40" s="62">
        <v>6.7279229737616172E-2</v>
      </c>
      <c r="F40" s="61">
        <v>0.8387778956397639</v>
      </c>
      <c r="G40" s="62">
        <v>4.379247523402989E-2</v>
      </c>
      <c r="H40" s="61">
        <v>0.87719231852421686</v>
      </c>
      <c r="I40" s="76">
        <v>7.785269341085777</v>
      </c>
    </row>
    <row r="41" spans="1:9">
      <c r="A41" s="65" t="s">
        <v>247</v>
      </c>
      <c r="B41" s="60">
        <v>254</v>
      </c>
      <c r="C41" s="61">
        <v>1.1623831948690986</v>
      </c>
      <c r="D41" s="62">
        <v>0.12602806724123175</v>
      </c>
      <c r="E41" s="62">
        <v>3.6967519289018667E-2</v>
      </c>
      <c r="F41" s="61">
        <v>1.062001680471524</v>
      </c>
      <c r="G41" s="62">
        <v>3.1994527781721203E-2</v>
      </c>
      <c r="H41" s="61">
        <v>1.0971029719882097</v>
      </c>
      <c r="I41" s="76">
        <v>5.1528482926352703</v>
      </c>
    </row>
    <row r="42" spans="1:9">
      <c r="A42" s="65" t="s">
        <v>248</v>
      </c>
      <c r="B42" s="60">
        <v>131</v>
      </c>
      <c r="C42" s="61">
        <v>1.1603652760592904</v>
      </c>
      <c r="D42" s="62">
        <v>0.23605438336428305</v>
      </c>
      <c r="E42" s="62">
        <v>6.7422782748656859E-2</v>
      </c>
      <c r="F42" s="61">
        <v>0.9858326817212415</v>
      </c>
      <c r="G42" s="62">
        <v>8.0849129295955585E-2</v>
      </c>
      <c r="H42" s="61">
        <v>1.0725471879998554</v>
      </c>
      <c r="I42" s="76">
        <v>0.6887289455148623</v>
      </c>
    </row>
    <row r="43" spans="1:9">
      <c r="A43" s="65" t="s">
        <v>249</v>
      </c>
      <c r="B43" s="60">
        <v>138</v>
      </c>
      <c r="C43" s="61">
        <v>1.4715094541215377</v>
      </c>
      <c r="D43" s="62">
        <v>0.14208144140427534</v>
      </c>
      <c r="E43" s="62">
        <v>4.304939948115865E-2</v>
      </c>
      <c r="F43" s="61">
        <v>1.3298040924419459</v>
      </c>
      <c r="G43" s="62">
        <v>2.9861395459020352E-2</v>
      </c>
      <c r="H43" s="61">
        <v>1.3707361878163189</v>
      </c>
      <c r="I43" s="76">
        <v>5.3325294190233024</v>
      </c>
    </row>
    <row r="44" spans="1:9">
      <c r="A44" s="65" t="s">
        <v>15</v>
      </c>
      <c r="B44" s="60">
        <v>32</v>
      </c>
      <c r="C44" s="61">
        <v>1.5022071383659328</v>
      </c>
      <c r="D44" s="62">
        <v>0.32335735016651312</v>
      </c>
      <c r="E44" s="62">
        <v>0.17814639912453609</v>
      </c>
      <c r="F44" s="61">
        <v>1.2090023026647645</v>
      </c>
      <c r="G44" s="62">
        <v>9.3127543900187543E-2</v>
      </c>
      <c r="H44" s="61">
        <v>1.3331558308257836</v>
      </c>
      <c r="I44" s="76">
        <v>0.85286384314212538</v>
      </c>
    </row>
    <row r="45" spans="1:9">
      <c r="A45" s="65" t="s">
        <v>250</v>
      </c>
      <c r="B45" s="60">
        <v>34</v>
      </c>
      <c r="C45" s="61">
        <v>1.174001444953803</v>
      </c>
      <c r="D45" s="62">
        <v>0.87237425980200867</v>
      </c>
      <c r="E45" s="62">
        <v>9.557019609780229E-2</v>
      </c>
      <c r="F45" s="61">
        <v>0.70967487477038171</v>
      </c>
      <c r="G45" s="62">
        <v>1.8538212587318761E-2</v>
      </c>
      <c r="H45" s="61">
        <v>0.72307947581048349</v>
      </c>
      <c r="I45" s="76">
        <v>1.5690399443104104</v>
      </c>
    </row>
    <row r="46" spans="1:9">
      <c r="A46" s="65" t="s">
        <v>16</v>
      </c>
      <c r="B46" s="60">
        <v>69</v>
      </c>
      <c r="C46" s="61">
        <v>1.4599765370156599</v>
      </c>
      <c r="D46" s="62">
        <v>0.66577209240563995</v>
      </c>
      <c r="E46" s="62">
        <v>8.1424228660483253E-2</v>
      </c>
      <c r="F46" s="61">
        <v>0.97375323863571084</v>
      </c>
      <c r="G46" s="62">
        <v>8.2200350685883675E-2</v>
      </c>
      <c r="H46" s="61">
        <v>1.0609649277632753</v>
      </c>
      <c r="I46" s="76">
        <v>4.2049047271240401</v>
      </c>
    </row>
    <row r="47" spans="1:9">
      <c r="A47" s="65" t="s">
        <v>17</v>
      </c>
      <c r="B47" s="60">
        <v>127</v>
      </c>
      <c r="C47" s="61">
        <v>1.1550009836175177</v>
      </c>
      <c r="D47" s="62">
        <v>0.1552397595380495</v>
      </c>
      <c r="E47" s="62">
        <v>6.7270246303556352E-2</v>
      </c>
      <c r="F47" s="61">
        <v>1.0345486686981815</v>
      </c>
      <c r="G47" s="62">
        <v>2.2054657954777637E-2</v>
      </c>
      <c r="H47" s="61">
        <v>1.0578798468783357</v>
      </c>
      <c r="I47" s="76">
        <v>3.6464203371631907</v>
      </c>
    </row>
    <row r="48" spans="1:9">
      <c r="A48" s="65" t="s">
        <v>18</v>
      </c>
      <c r="B48" s="60">
        <v>73</v>
      </c>
      <c r="C48" s="61">
        <v>1.4047128789332648</v>
      </c>
      <c r="D48" s="62">
        <v>0.13058755319285983</v>
      </c>
      <c r="E48" s="62">
        <v>0.12449529547899026</v>
      </c>
      <c r="F48" s="61">
        <v>1.279406915006702</v>
      </c>
      <c r="G48" s="62">
        <v>4.0524175559670791E-2</v>
      </c>
      <c r="H48" s="61">
        <v>1.3334436182933442</v>
      </c>
      <c r="I48" s="76">
        <v>6.2565620034079643</v>
      </c>
    </row>
    <row r="49" spans="1:9">
      <c r="A49" s="65" t="s">
        <v>251</v>
      </c>
      <c r="B49" s="60">
        <v>21</v>
      </c>
      <c r="C49" s="61">
        <v>1.2277613538599423</v>
      </c>
      <c r="D49" s="62">
        <v>0.30488971397762499</v>
      </c>
      <c r="E49" s="62">
        <v>0.10263886699732405</v>
      </c>
      <c r="F49" s="61">
        <v>0.99926267132365276</v>
      </c>
      <c r="G49" s="62">
        <v>2.6949929115194532E-2</v>
      </c>
      <c r="H49" s="61">
        <v>1.0269385936275734</v>
      </c>
      <c r="I49" s="76">
        <v>2.1601068304801978</v>
      </c>
    </row>
    <row r="50" spans="1:9">
      <c r="A50" s="65" t="s">
        <v>19</v>
      </c>
      <c r="B50" s="60">
        <v>27</v>
      </c>
      <c r="C50" s="61">
        <v>0.93935366031437906</v>
      </c>
      <c r="D50" s="62">
        <v>0.92403206740116273</v>
      </c>
      <c r="E50" s="62">
        <v>0.11407564986678613</v>
      </c>
      <c r="F50" s="61">
        <v>0.55483775319596584</v>
      </c>
      <c r="G50" s="62">
        <v>0.16873839578331887</v>
      </c>
      <c r="H50" s="61">
        <v>0.66746467102712326</v>
      </c>
      <c r="I50" s="76">
        <v>1.3252068248279174</v>
      </c>
    </row>
    <row r="51" spans="1:9">
      <c r="A51" s="65" t="s">
        <v>20</v>
      </c>
      <c r="B51" s="60">
        <v>51</v>
      </c>
      <c r="C51" s="61">
        <v>0.80330136282469566</v>
      </c>
      <c r="D51" s="62">
        <v>0.21465948670887489</v>
      </c>
      <c r="E51" s="62">
        <v>0.109240658776035</v>
      </c>
      <c r="F51" s="61">
        <v>0.69190791449346434</v>
      </c>
      <c r="G51" s="62">
        <v>5.1581418326943157E-2</v>
      </c>
      <c r="H51" s="61">
        <v>0.72953854749756686</v>
      </c>
      <c r="I51" s="76">
        <v>1.3918409007316568</v>
      </c>
    </row>
    <row r="52" spans="1:9">
      <c r="A52" s="65" t="s">
        <v>252</v>
      </c>
      <c r="B52" s="60">
        <v>600</v>
      </c>
      <c r="C52" s="61">
        <v>0.62361295447909626</v>
      </c>
      <c r="D52" s="62">
        <v>0.38346905996267916</v>
      </c>
      <c r="E52" s="62">
        <v>4.0125418223955996E-2</v>
      </c>
      <c r="F52" s="61">
        <v>0.48432128388936641</v>
      </c>
      <c r="G52" s="62">
        <v>9.9361219655371313E-2</v>
      </c>
      <c r="H52" s="61">
        <v>0.53775308643054576</v>
      </c>
      <c r="I52" s="76">
        <v>5.1649613951272544</v>
      </c>
    </row>
    <row r="53" spans="1:9">
      <c r="A53" s="65" t="s">
        <v>21</v>
      </c>
      <c r="B53" s="60">
        <v>116</v>
      </c>
      <c r="C53" s="61">
        <v>1.2248168994320441</v>
      </c>
      <c r="D53" s="62">
        <v>0.20842493500465975</v>
      </c>
      <c r="E53" s="62">
        <v>0.10366582315102471</v>
      </c>
      <c r="F53" s="61">
        <v>1.0592381651393292</v>
      </c>
      <c r="G53" s="62">
        <v>3.1620151885439637E-2</v>
      </c>
      <c r="H53" s="61">
        <v>1.0938250803149925</v>
      </c>
      <c r="I53" s="76">
        <v>2.6683702336166513</v>
      </c>
    </row>
    <row r="54" spans="1:9">
      <c r="A54" s="65" t="s">
        <v>253</v>
      </c>
      <c r="B54" s="60">
        <v>68</v>
      </c>
      <c r="C54" s="61">
        <v>1.2900534643158847</v>
      </c>
      <c r="D54" s="62">
        <v>0.21544931089430228</v>
      </c>
      <c r="E54" s="62">
        <v>4.1470687221803568E-2</v>
      </c>
      <c r="F54" s="61">
        <v>1.1105956618026913</v>
      </c>
      <c r="G54" s="62">
        <v>8.9071410334220336E-2</v>
      </c>
      <c r="H54" s="61">
        <v>1.2191906966167014</v>
      </c>
      <c r="I54" s="76">
        <v>2.060190198107211</v>
      </c>
    </row>
    <row r="55" spans="1:9">
      <c r="A55" s="65" t="s">
        <v>254</v>
      </c>
      <c r="B55" s="60">
        <v>16</v>
      </c>
      <c r="C55" s="61">
        <v>1.1770946700328646</v>
      </c>
      <c r="D55" s="62">
        <v>0.6680142260029055</v>
      </c>
      <c r="E55" s="62">
        <v>0.19532686112334122</v>
      </c>
      <c r="F55" s="61">
        <v>0.78420140106216341</v>
      </c>
      <c r="G55" s="62">
        <v>7.1772032633234992E-2</v>
      </c>
      <c r="H55" s="61">
        <v>0.8448370751926576</v>
      </c>
      <c r="I55" s="76">
        <v>0.93288594172655359</v>
      </c>
    </row>
    <row r="56" spans="1:9">
      <c r="A56" s="65" t="s">
        <v>255</v>
      </c>
      <c r="B56" s="60">
        <v>4</v>
      </c>
      <c r="C56" s="61">
        <v>0.97748589274906783</v>
      </c>
      <c r="D56" s="62">
        <v>0.11503816258570915</v>
      </c>
      <c r="E56" s="62">
        <v>0.14222153189085546</v>
      </c>
      <c r="F56" s="61">
        <v>0.89984822770792305</v>
      </c>
      <c r="G56" s="62">
        <v>4.9056001104084736E-2</v>
      </c>
      <c r="H56" s="61">
        <v>0.94626836990683305</v>
      </c>
      <c r="I56" s="76">
        <v>1.3937972898489077</v>
      </c>
    </row>
    <row r="57" spans="1:9">
      <c r="A57" s="65" t="s">
        <v>256</v>
      </c>
      <c r="B57" s="60">
        <v>174</v>
      </c>
      <c r="C57" s="61">
        <v>1.2574315521617736</v>
      </c>
      <c r="D57" s="62">
        <v>0.20083328443025461</v>
      </c>
      <c r="E57" s="62">
        <v>4.6038594576514963E-2</v>
      </c>
      <c r="F57" s="61">
        <v>1.0928248493155008</v>
      </c>
      <c r="G57" s="62">
        <v>3.8114747359291025E-2</v>
      </c>
      <c r="H57" s="61">
        <v>1.1361280842130776</v>
      </c>
      <c r="I57" s="76">
        <v>2.1191896091279183</v>
      </c>
    </row>
    <row r="58" spans="1:9">
      <c r="A58" s="65" t="s">
        <v>22</v>
      </c>
      <c r="B58" s="60">
        <v>23</v>
      </c>
      <c r="C58" s="61">
        <v>0.99125533132716515</v>
      </c>
      <c r="D58" s="62">
        <v>0.71410926721058809</v>
      </c>
      <c r="E58" s="62">
        <v>6.9021117945879049E-2</v>
      </c>
      <c r="F58" s="61">
        <v>0.64552421384207415</v>
      </c>
      <c r="G58" s="62">
        <v>1.6703538781858748E-2</v>
      </c>
      <c r="H58" s="61">
        <v>0.65648991865828199</v>
      </c>
      <c r="I58" s="76">
        <v>2.5992733148507301</v>
      </c>
    </row>
    <row r="59" spans="1:9">
      <c r="A59" s="65" t="s">
        <v>23</v>
      </c>
      <c r="B59" s="60">
        <v>101</v>
      </c>
      <c r="C59" s="61">
        <v>1.3751593545688363</v>
      </c>
      <c r="D59" s="62">
        <v>0.32604180548581313</v>
      </c>
      <c r="E59" s="62">
        <v>7.0685214388915923E-2</v>
      </c>
      <c r="F59" s="61">
        <v>1.1049615986151144</v>
      </c>
      <c r="G59" s="62">
        <v>6.9065997248052916E-2</v>
      </c>
      <c r="H59" s="61">
        <v>1.1869387038702228</v>
      </c>
      <c r="I59" s="76">
        <v>0.57635942221663927</v>
      </c>
    </row>
    <row r="60" spans="1:9">
      <c r="A60" s="65" t="s">
        <v>24</v>
      </c>
      <c r="B60" s="60">
        <v>25</v>
      </c>
      <c r="C60" s="61">
        <v>0.95242199691205232</v>
      </c>
      <c r="D60" s="62">
        <v>0.61965646428058319</v>
      </c>
      <c r="E60" s="62">
        <v>0.14661913030028642</v>
      </c>
      <c r="F60" s="61">
        <v>0.65023176128940541</v>
      </c>
      <c r="G60" s="62">
        <v>3.0228141722146131E-2</v>
      </c>
      <c r="H60" s="61">
        <v>0.67049972190789686</v>
      </c>
      <c r="I60" s="76">
        <v>1.2479568457109567</v>
      </c>
    </row>
    <row r="61" spans="1:9">
      <c r="A61" s="65" t="s">
        <v>25</v>
      </c>
      <c r="B61" s="60">
        <v>7</v>
      </c>
      <c r="C61" s="61">
        <v>1.3830066711394122</v>
      </c>
      <c r="D61" s="62">
        <v>0.4386501965496456</v>
      </c>
      <c r="E61" s="62">
        <v>0.12757457269381595</v>
      </c>
      <c r="F61" s="61">
        <v>1.0406467462902025</v>
      </c>
      <c r="G61" s="62">
        <v>7.5671084905858985E-2</v>
      </c>
      <c r="H61" s="61">
        <v>1.1258403034857074</v>
      </c>
      <c r="I61" s="76">
        <v>0.77446083379170738</v>
      </c>
    </row>
    <row r="62" spans="1:9">
      <c r="A62" s="65" t="s">
        <v>26</v>
      </c>
      <c r="B62" s="60">
        <v>48</v>
      </c>
      <c r="C62" s="61">
        <v>0.72500097471023861</v>
      </c>
      <c r="D62" s="62">
        <v>0.77155753730162346</v>
      </c>
      <c r="E62" s="62">
        <v>0.12298398219937019</v>
      </c>
      <c r="F62" s="61">
        <v>0.45924849585608929</v>
      </c>
      <c r="G62" s="62">
        <v>1.0296600450838659E-2</v>
      </c>
      <c r="H62" s="61">
        <v>0.46402639019456771</v>
      </c>
      <c r="I62" s="76">
        <v>3.7530377133084176</v>
      </c>
    </row>
    <row r="63" spans="1:9">
      <c r="A63" s="65" t="s">
        <v>27</v>
      </c>
      <c r="B63" s="60">
        <v>74</v>
      </c>
      <c r="C63" s="61">
        <v>1.2336190389708566</v>
      </c>
      <c r="D63" s="62">
        <v>0.16326322309396255</v>
      </c>
      <c r="E63" s="62">
        <v>2.8730153469345189E-2</v>
      </c>
      <c r="F63" s="61">
        <v>1.0990439462329342</v>
      </c>
      <c r="G63" s="62">
        <v>7.4262155460789667E-2</v>
      </c>
      <c r="H63" s="61">
        <v>1.1872086171220402</v>
      </c>
      <c r="I63" s="76">
        <v>3.5531523553351589</v>
      </c>
    </row>
    <row r="64" spans="1:9">
      <c r="A64" s="65" t="s">
        <v>297</v>
      </c>
      <c r="B64" s="60">
        <v>20</v>
      </c>
      <c r="C64" s="61">
        <v>1.1148957766881691</v>
      </c>
      <c r="D64" s="62">
        <v>0.42176377073279631</v>
      </c>
      <c r="E64" s="62">
        <v>9.667014521273086E-2</v>
      </c>
      <c r="F64" s="61">
        <v>0.846977468544032</v>
      </c>
      <c r="G64" s="62">
        <v>7.3486465244431906E-2</v>
      </c>
      <c r="H64" s="61">
        <v>0.91415552689954038</v>
      </c>
      <c r="I64" s="76">
        <v>1.1585137067311873</v>
      </c>
    </row>
    <row r="65" spans="1:9">
      <c r="A65" s="65" t="s">
        <v>28</v>
      </c>
      <c r="B65" s="60">
        <v>223</v>
      </c>
      <c r="C65" s="61">
        <v>1.063376043005491</v>
      </c>
      <c r="D65" s="62">
        <v>0.7732793309077326</v>
      </c>
      <c r="E65" s="62">
        <v>3.3816563274859365E-2</v>
      </c>
      <c r="F65" s="61">
        <v>0.67304006478006928</v>
      </c>
      <c r="G65" s="62">
        <v>1.8257812982754706E-2</v>
      </c>
      <c r="H65" s="61">
        <v>0.68555683323023653</v>
      </c>
      <c r="I65" s="76">
        <v>11.06237876186524</v>
      </c>
    </row>
    <row r="66" spans="1:9">
      <c r="A66" s="65" t="s">
        <v>257</v>
      </c>
      <c r="B66" s="60">
        <v>18</v>
      </c>
      <c r="C66" s="61">
        <v>1.5166924498761216</v>
      </c>
      <c r="D66" s="62">
        <v>1.1255656150447586</v>
      </c>
      <c r="E66" s="62">
        <v>6.6640216513095124E-2</v>
      </c>
      <c r="F66" s="61">
        <v>0.8224236303686755</v>
      </c>
      <c r="G66" s="62">
        <v>6.9451076941643597E-2</v>
      </c>
      <c r="H66" s="61">
        <v>0.88380482744065236</v>
      </c>
      <c r="I66" s="76">
        <v>2.8074579856808244</v>
      </c>
    </row>
    <row r="67" spans="1:9">
      <c r="A67" s="65" t="s">
        <v>258</v>
      </c>
      <c r="B67" s="60">
        <v>12</v>
      </c>
      <c r="C67" s="61">
        <v>0.78980297684164968</v>
      </c>
      <c r="D67" s="62">
        <v>0.39818801240908047</v>
      </c>
      <c r="E67" s="62">
        <v>9.3712951646556686E-2</v>
      </c>
      <c r="F67" s="61">
        <v>0.60817652544580536</v>
      </c>
      <c r="G67" s="62">
        <v>8.5365153569522081E-2</v>
      </c>
      <c r="H67" s="61">
        <v>0.6649391588559308</v>
      </c>
      <c r="I67" s="76">
        <v>4.0156438237906613</v>
      </c>
    </row>
    <row r="68" spans="1:9">
      <c r="A68" s="65" t="s">
        <v>259</v>
      </c>
      <c r="B68" s="60">
        <v>60</v>
      </c>
      <c r="C68" s="61">
        <v>1.3454843302112593</v>
      </c>
      <c r="D68" s="62">
        <v>1.0925740752439148</v>
      </c>
      <c r="E68" s="62">
        <v>5.4661662502489834E-2</v>
      </c>
      <c r="F68" s="61">
        <v>0.73950848272502001</v>
      </c>
      <c r="G68" s="62">
        <v>8.1379435050841789E-2</v>
      </c>
      <c r="H68" s="61">
        <v>0.80502060474331827</v>
      </c>
      <c r="I68" s="76">
        <v>0.99731101203291117</v>
      </c>
    </row>
    <row r="69" spans="1:9">
      <c r="A69" s="65" t="s">
        <v>29</v>
      </c>
      <c r="B69" s="60">
        <v>57</v>
      </c>
      <c r="C69" s="61">
        <v>1.4179809441636479</v>
      </c>
      <c r="D69" s="62">
        <v>0.52060538651449051</v>
      </c>
      <c r="E69" s="62">
        <v>9.4928845466662873E-2</v>
      </c>
      <c r="F69" s="61">
        <v>1.0197970615986987</v>
      </c>
      <c r="G69" s="62">
        <v>5.1786361462363033E-2</v>
      </c>
      <c r="H69" s="61">
        <v>1.0754929270701692</v>
      </c>
      <c r="I69" s="76">
        <v>1.7662464800785203</v>
      </c>
    </row>
    <row r="70" spans="1:9">
      <c r="A70" s="65" t="s">
        <v>30</v>
      </c>
      <c r="B70" s="60">
        <v>1</v>
      </c>
      <c r="C70" s="61">
        <v>0.82924820341635141</v>
      </c>
      <c r="D70" s="62">
        <v>0.45098674687154305</v>
      </c>
      <c r="E70" s="62">
        <v>6.4829821717990274E-2</v>
      </c>
      <c r="F70" s="61">
        <v>0.61965579129437864</v>
      </c>
      <c r="G70" s="62">
        <v>0.25486977918133502</v>
      </c>
      <c r="H70" s="61">
        <v>0.83160738080596275</v>
      </c>
      <c r="I70" s="76">
        <v>0.63216265478481615</v>
      </c>
    </row>
    <row r="71" spans="1:9">
      <c r="A71" s="65" t="s">
        <v>260</v>
      </c>
      <c r="B71" s="60">
        <v>70</v>
      </c>
      <c r="C71" s="61">
        <v>1.4103978688180479</v>
      </c>
      <c r="D71" s="62">
        <v>0.30775437210884488</v>
      </c>
      <c r="E71" s="62">
        <v>8.5443306117611847E-2</v>
      </c>
      <c r="F71" s="61">
        <v>1.1459049297128838</v>
      </c>
      <c r="G71" s="62">
        <v>1.7235635807217261E-2</v>
      </c>
      <c r="H71" s="61">
        <v>1.1660017105464549</v>
      </c>
      <c r="I71" s="76">
        <v>4.0665383764474727</v>
      </c>
    </row>
    <row r="72" spans="1:9">
      <c r="A72" s="65" t="s">
        <v>261</v>
      </c>
      <c r="B72" s="60">
        <v>30</v>
      </c>
      <c r="C72" s="61">
        <v>1.5201925121768585</v>
      </c>
      <c r="D72" s="62">
        <v>0.57486804158388638</v>
      </c>
      <c r="E72" s="62">
        <v>0.15838509352594998</v>
      </c>
      <c r="F72" s="61">
        <v>1.0622166906556574</v>
      </c>
      <c r="G72" s="62">
        <v>1.8942366151700137E-2</v>
      </c>
      <c r="H72" s="61">
        <v>1.0827260845919955</v>
      </c>
      <c r="I72" s="76">
        <v>0.90560565109919078</v>
      </c>
    </row>
    <row r="73" spans="1:9">
      <c r="A73" s="65" t="s">
        <v>262</v>
      </c>
      <c r="B73" s="60">
        <v>15</v>
      </c>
      <c r="C73" s="61">
        <v>1.7891723510222548</v>
      </c>
      <c r="D73" s="62">
        <v>0.21213527708387048</v>
      </c>
      <c r="E73" s="62">
        <v>0.13391716018934746</v>
      </c>
      <c r="F73" s="61">
        <v>1.5435856274378488</v>
      </c>
      <c r="G73" s="62">
        <v>1.4968542835664624E-2</v>
      </c>
      <c r="H73" s="61">
        <v>1.5670419621739333</v>
      </c>
      <c r="I73" s="76">
        <v>1.9563486558546059</v>
      </c>
    </row>
    <row r="74" spans="1:9">
      <c r="A74" s="65" t="s">
        <v>263</v>
      </c>
      <c r="B74" s="60">
        <v>69</v>
      </c>
      <c r="C74" s="61">
        <v>1.2752456934388758</v>
      </c>
      <c r="D74" s="62">
        <v>0.39567295890000159</v>
      </c>
      <c r="E74" s="62">
        <v>0.13594643894000899</v>
      </c>
      <c r="F74" s="61">
        <v>0.98341318877188311</v>
      </c>
      <c r="G74" s="62">
        <v>2.2524354628298306E-2</v>
      </c>
      <c r="H74" s="61">
        <v>1.00607436454125</v>
      </c>
      <c r="I74" s="76">
        <v>1.4491371517415981</v>
      </c>
    </row>
    <row r="75" spans="1:9">
      <c r="A75" s="65" t="s">
        <v>264</v>
      </c>
      <c r="B75" s="60">
        <v>15</v>
      </c>
      <c r="C75" s="61">
        <v>1.3632136186935628</v>
      </c>
      <c r="D75" s="62">
        <v>0.19969640536769256</v>
      </c>
      <c r="E75" s="62">
        <v>0.21259763765231698</v>
      </c>
      <c r="F75" s="61">
        <v>1.1856378988434997</v>
      </c>
      <c r="G75" s="62">
        <v>2.8245545382027257E-2</v>
      </c>
      <c r="H75" s="61">
        <v>1.2201002971574864</v>
      </c>
      <c r="I75" s="76">
        <v>0.81313449985441677</v>
      </c>
    </row>
    <row r="76" spans="1:9">
      <c r="A76" s="65" t="s">
        <v>265</v>
      </c>
      <c r="B76" s="60">
        <v>13</v>
      </c>
      <c r="C76" s="61">
        <v>0.66756973306313983</v>
      </c>
      <c r="D76" s="62">
        <v>0.65817573533732865</v>
      </c>
      <c r="E76" s="62">
        <v>0.16454371176768529</v>
      </c>
      <c r="F76" s="61">
        <v>0.44694397400442637</v>
      </c>
      <c r="G76" s="62">
        <v>5.5436020108825777E-2</v>
      </c>
      <c r="H76" s="61">
        <v>0.47317490770283238</v>
      </c>
      <c r="I76" s="76">
        <v>0.37471973967659333</v>
      </c>
    </row>
    <row r="77" spans="1:9">
      <c r="A77" s="65" t="s">
        <v>266</v>
      </c>
      <c r="B77" s="60">
        <v>63</v>
      </c>
      <c r="C77" s="61">
        <v>1.4871300694613425</v>
      </c>
      <c r="D77" s="62">
        <v>0.19174447188057428</v>
      </c>
      <c r="E77" s="62">
        <v>4.0941719858048488E-2</v>
      </c>
      <c r="F77" s="61">
        <v>1.3001566778011107</v>
      </c>
      <c r="G77" s="62">
        <v>4.1175209963425691E-2</v>
      </c>
      <c r="H77" s="61">
        <v>1.3559898443505161</v>
      </c>
      <c r="I77" s="76">
        <v>1.8662255983788749</v>
      </c>
    </row>
    <row r="78" spans="1:9">
      <c r="A78" s="65" t="s">
        <v>267</v>
      </c>
      <c r="B78" s="60">
        <v>78</v>
      </c>
      <c r="C78" s="61">
        <v>1.4752073825450458</v>
      </c>
      <c r="D78" s="62">
        <v>0.39158372922601853</v>
      </c>
      <c r="E78" s="62">
        <v>0.15019349979060045</v>
      </c>
      <c r="F78" s="61">
        <v>1.1403117398631728</v>
      </c>
      <c r="G78" s="62">
        <v>4.0041704683196455E-2</v>
      </c>
      <c r="H78" s="61">
        <v>1.187876333197214</v>
      </c>
      <c r="I78" s="76">
        <v>0.96745501914780907</v>
      </c>
    </row>
    <row r="79" spans="1:9">
      <c r="A79" s="65" t="s">
        <v>268</v>
      </c>
      <c r="B79" s="60">
        <v>3</v>
      </c>
      <c r="C79" s="61">
        <v>0.83801497962970528</v>
      </c>
      <c r="D79" s="62">
        <v>3.303339604619385</v>
      </c>
      <c r="E79" s="62">
        <v>0</v>
      </c>
      <c r="F79" s="61">
        <v>0.24098169552288884</v>
      </c>
      <c r="G79" s="62">
        <v>9.9691021624217765E-2</v>
      </c>
      <c r="H79" s="61">
        <v>0.26766554739644599</v>
      </c>
      <c r="I79" s="76">
        <v>0.54994654147614319</v>
      </c>
    </row>
    <row r="80" spans="1:9">
      <c r="A80" s="65" t="s">
        <v>31</v>
      </c>
      <c r="B80" s="60">
        <v>68</v>
      </c>
      <c r="C80" s="61">
        <v>1.6077462586340689</v>
      </c>
      <c r="D80" s="62">
        <v>0.11265628382191657</v>
      </c>
      <c r="E80" s="62">
        <v>8.1819268803683717E-2</v>
      </c>
      <c r="F80" s="61">
        <v>1.482487600703569</v>
      </c>
      <c r="G80" s="62">
        <v>3.3748762158634794E-2</v>
      </c>
      <c r="H80" s="61">
        <v>1.5342672202060941</v>
      </c>
      <c r="I80" s="76">
        <v>4.9757982826069913</v>
      </c>
    </row>
    <row r="81" spans="1:9">
      <c r="A81" s="65" t="s">
        <v>32</v>
      </c>
      <c r="B81" s="60">
        <v>30</v>
      </c>
      <c r="C81" s="61">
        <v>1.757142721715889</v>
      </c>
      <c r="D81" s="62">
        <v>0.11786824757584162</v>
      </c>
      <c r="E81" s="62">
        <v>0.10936898430604083</v>
      </c>
      <c r="F81" s="61">
        <v>1.6144255857412013</v>
      </c>
      <c r="G81" s="62">
        <v>4.4292965648447258E-2</v>
      </c>
      <c r="H81" s="61">
        <v>1.6892473610771204</v>
      </c>
      <c r="I81" s="76">
        <v>3.6641302435732546</v>
      </c>
    </row>
    <row r="82" spans="1:9">
      <c r="A82" s="65" t="s">
        <v>269</v>
      </c>
      <c r="B82" s="60">
        <v>8</v>
      </c>
      <c r="C82" s="61">
        <v>0.94373863184759688</v>
      </c>
      <c r="D82" s="62">
        <v>0.3901857569968924</v>
      </c>
      <c r="E82" s="62">
        <v>6.2322052474713847E-2</v>
      </c>
      <c r="F82" s="61">
        <v>0.73008659019593591</v>
      </c>
      <c r="G82" s="62">
        <v>6.4392129906350806E-2</v>
      </c>
      <c r="H82" s="61">
        <v>0.78033395563769492</v>
      </c>
      <c r="I82" s="76">
        <v>1.072671629219107</v>
      </c>
    </row>
    <row r="83" spans="1:9">
      <c r="A83" s="65" t="s">
        <v>33</v>
      </c>
      <c r="B83" s="60">
        <v>13</v>
      </c>
      <c r="C83" s="61">
        <v>1.3276925338648697</v>
      </c>
      <c r="D83" s="62">
        <v>9.0140655527445976E-2</v>
      </c>
      <c r="E83" s="62">
        <v>0.10698367731914769</v>
      </c>
      <c r="F83" s="61">
        <v>1.2436171828026032</v>
      </c>
      <c r="G83" s="62">
        <v>3.4958749410353512E-2</v>
      </c>
      <c r="H83" s="61">
        <v>1.2886673829152329</v>
      </c>
      <c r="I83" s="76">
        <v>3.2197253108411452</v>
      </c>
    </row>
    <row r="84" spans="1:9">
      <c r="A84" s="65" t="s">
        <v>270</v>
      </c>
      <c r="B84" s="60">
        <v>91</v>
      </c>
      <c r="C84" s="61">
        <v>1.363575730964357</v>
      </c>
      <c r="D84" s="62">
        <v>4.8025373159782218E-2</v>
      </c>
      <c r="E84" s="62">
        <v>3.81657195507904E-2</v>
      </c>
      <c r="F84" s="61">
        <v>1.3161686143310263</v>
      </c>
      <c r="G84" s="62">
        <v>3.071817066284499E-2</v>
      </c>
      <c r="H84" s="61">
        <v>1.3578802103729628</v>
      </c>
      <c r="I84" s="76">
        <v>3.5922880547988676</v>
      </c>
    </row>
    <row r="85" spans="1:9">
      <c r="A85" s="65" t="s">
        <v>271</v>
      </c>
      <c r="B85" s="60">
        <v>33</v>
      </c>
      <c r="C85" s="61">
        <v>1.5513058877107246</v>
      </c>
      <c r="D85" s="62">
        <v>0.17655464364745466</v>
      </c>
      <c r="E85" s="62">
        <v>2.3650263887898121E-2</v>
      </c>
      <c r="F85" s="61">
        <v>1.3699081533300299</v>
      </c>
      <c r="G85" s="62">
        <v>3.2900020588293027E-2</v>
      </c>
      <c r="H85" s="61">
        <v>1.416511407810549</v>
      </c>
      <c r="I85" s="76">
        <v>6.3326128080935904</v>
      </c>
    </row>
    <row r="86" spans="1:9">
      <c r="A86" s="65" t="s">
        <v>272</v>
      </c>
      <c r="B86" s="60">
        <v>390</v>
      </c>
      <c r="C86" s="61">
        <v>1.4697712402478267</v>
      </c>
      <c r="D86" s="62">
        <v>9.3648717927364691E-2</v>
      </c>
      <c r="E86" s="62">
        <v>3.395114353447462E-2</v>
      </c>
      <c r="F86" s="61">
        <v>1.3733143912116959</v>
      </c>
      <c r="G86" s="62">
        <v>2.8066077148274141E-2</v>
      </c>
      <c r="H86" s="61">
        <v>1.4129709426977197</v>
      </c>
      <c r="I86" s="76">
        <v>7.587550224240557</v>
      </c>
    </row>
    <row r="87" spans="1:9">
      <c r="A87" s="65" t="s">
        <v>34</v>
      </c>
      <c r="B87" s="60">
        <v>28</v>
      </c>
      <c r="C87" s="61">
        <v>1.3424843767995962</v>
      </c>
      <c r="D87" s="62">
        <v>0.28595102522701571</v>
      </c>
      <c r="E87" s="62">
        <v>0.14954162997616205</v>
      </c>
      <c r="F87" s="61">
        <v>1.1054137339148622</v>
      </c>
      <c r="G87" s="62">
        <v>8.8354278552709387E-2</v>
      </c>
      <c r="H87" s="61">
        <v>1.2125474928571525</v>
      </c>
      <c r="I87" s="76">
        <v>0.67632769160090278</v>
      </c>
    </row>
    <row r="88" spans="1:9">
      <c r="A88" s="65" t="s">
        <v>273</v>
      </c>
      <c r="B88" s="60">
        <v>16</v>
      </c>
      <c r="C88" s="61">
        <v>1.0309737102652559</v>
      </c>
      <c r="D88" s="62">
        <v>0.65154486787819843</v>
      </c>
      <c r="E88" s="62">
        <v>3.8302283114982148E-2</v>
      </c>
      <c r="F88" s="61">
        <v>0.69255212377664233</v>
      </c>
      <c r="G88" s="62">
        <v>2.6437164736179304E-2</v>
      </c>
      <c r="H88" s="61">
        <v>0.71135842360803681</v>
      </c>
      <c r="I88" s="76">
        <v>3.1769575920264543</v>
      </c>
    </row>
    <row r="89" spans="1:9">
      <c r="A89" s="65" t="s">
        <v>35</v>
      </c>
      <c r="B89" s="60">
        <v>79</v>
      </c>
      <c r="C89" s="61">
        <v>1.2331194872073334</v>
      </c>
      <c r="D89" s="62">
        <v>0.11678322018549975</v>
      </c>
      <c r="E89" s="62">
        <v>4.0571929767536014E-2</v>
      </c>
      <c r="F89" s="61">
        <v>1.1338118389771843</v>
      </c>
      <c r="G89" s="62">
        <v>3.7911016791603691E-2</v>
      </c>
      <c r="H89" s="61">
        <v>1.1784895771242725</v>
      </c>
      <c r="I89" s="76">
        <v>3.5614434610706187</v>
      </c>
    </row>
    <row r="90" spans="1:9">
      <c r="A90" s="65" t="s">
        <v>36</v>
      </c>
      <c r="B90" s="60">
        <v>49</v>
      </c>
      <c r="C90" s="61">
        <v>0.88226816528565966</v>
      </c>
      <c r="D90" s="62">
        <v>1.1771759919284781</v>
      </c>
      <c r="E90" s="62">
        <v>6.5368083078363712E-2</v>
      </c>
      <c r="F90" s="61">
        <v>0.46857326594137827</v>
      </c>
      <c r="G90" s="62">
        <v>1.125298621890258E-2</v>
      </c>
      <c r="H90" s="61">
        <v>0.47390612503545576</v>
      </c>
      <c r="I90" s="76">
        <v>2.1752246611284507</v>
      </c>
    </row>
    <row r="91" spans="1:9">
      <c r="A91" s="65" t="s">
        <v>37</v>
      </c>
      <c r="B91" s="60">
        <v>15</v>
      </c>
      <c r="C91" s="61">
        <v>2.0004565028386407</v>
      </c>
      <c r="D91" s="62">
        <v>0.24055401059949102</v>
      </c>
      <c r="E91" s="62">
        <v>9.8330509025201351E-2</v>
      </c>
      <c r="F91" s="61">
        <v>1.6947053722747454</v>
      </c>
      <c r="G91" s="62">
        <v>2.8404796925753654E-2</v>
      </c>
      <c r="H91" s="61">
        <v>1.7442504521558875</v>
      </c>
      <c r="I91" s="76">
        <v>5.0465098709256733</v>
      </c>
    </row>
    <row r="92" spans="1:9">
      <c r="A92" s="65" t="s">
        <v>274</v>
      </c>
      <c r="B92" s="60">
        <v>18</v>
      </c>
      <c r="C92" s="61">
        <v>1.058265749430396</v>
      </c>
      <c r="D92" s="62">
        <v>0.29510151487454073</v>
      </c>
      <c r="E92" s="62">
        <v>0.16385816650202897</v>
      </c>
      <c r="F92" s="61">
        <v>0.8664890712658142</v>
      </c>
      <c r="G92" s="62">
        <v>6.2843539003580931E-2</v>
      </c>
      <c r="H92" s="61">
        <v>0.92459381899211512</v>
      </c>
      <c r="I92" s="76">
        <v>1.0825416705307049</v>
      </c>
    </row>
    <row r="93" spans="1:9">
      <c r="A93" s="65" t="s">
        <v>275</v>
      </c>
      <c r="B93" s="60">
        <v>4</v>
      </c>
      <c r="C93" s="61">
        <v>1.1078308621714459</v>
      </c>
      <c r="D93" s="62">
        <v>0.27451205147789459</v>
      </c>
      <c r="E93" s="62">
        <v>0.16567959676788763</v>
      </c>
      <c r="F93" s="61">
        <v>0.91868772344799632</v>
      </c>
      <c r="G93" s="62">
        <v>1.4686917256493601E-2</v>
      </c>
      <c r="H93" s="61">
        <v>0.93238153388768741</v>
      </c>
      <c r="I93" s="76">
        <v>6.3236145780689155</v>
      </c>
    </row>
    <row r="94" spans="1:9">
      <c r="A94" s="65" t="s">
        <v>38</v>
      </c>
      <c r="B94" s="60">
        <v>35</v>
      </c>
      <c r="C94" s="61">
        <v>1.5451244708853058</v>
      </c>
      <c r="D94" s="62">
        <v>0.43913586539321359</v>
      </c>
      <c r="E94" s="62">
        <v>0.14785932618179476</v>
      </c>
      <c r="F94" s="61">
        <v>1.1623141111058857</v>
      </c>
      <c r="G94" s="62">
        <v>5.7218077552788967E-2</v>
      </c>
      <c r="H94" s="61">
        <v>1.232855746839977</v>
      </c>
      <c r="I94" s="76">
        <v>1.4513374895378339</v>
      </c>
    </row>
    <row r="95" spans="1:9">
      <c r="A95" s="65" t="s">
        <v>276</v>
      </c>
      <c r="B95" s="60">
        <v>15</v>
      </c>
      <c r="C95" s="61">
        <v>0.63513941960164833</v>
      </c>
      <c r="D95" s="62">
        <v>0.74175003502026149</v>
      </c>
      <c r="E95" s="62">
        <v>0.13203047748326249</v>
      </c>
      <c r="F95" s="61">
        <v>0.40810531874715528</v>
      </c>
      <c r="G95" s="62">
        <v>3.3127957239668755E-3</v>
      </c>
      <c r="H95" s="61">
        <v>0.40946178198765182</v>
      </c>
      <c r="I95" s="76">
        <v>4.283399946079026</v>
      </c>
    </row>
    <row r="96" spans="1:9">
      <c r="A96" s="65" t="s">
        <v>277</v>
      </c>
      <c r="B96" s="60">
        <v>16</v>
      </c>
      <c r="C96" s="61">
        <v>1.1524153536245123</v>
      </c>
      <c r="D96" s="62">
        <v>0.43396475885206598</v>
      </c>
      <c r="E96" s="62">
        <v>8.4454307614074048E-2</v>
      </c>
      <c r="F96" s="61">
        <v>0.86943669074673013</v>
      </c>
      <c r="G96" s="62">
        <v>3.5347974849298789E-3</v>
      </c>
      <c r="H96" s="61">
        <v>0.87252087534243938</v>
      </c>
      <c r="I96" s="76">
        <v>9.1829445772175315</v>
      </c>
    </row>
  </sheetData>
  <phoneticPr fontId="1" type="noConversion"/>
  <pageMargins left="0.75" right="0.75" top="1" bottom="1" header="0.5" footer="0.5"/>
  <pageSetup scale="60" orientation="landscape" horizontalDpi="4294967292" verticalDpi="4294967292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selection activeCell="B46" sqref="B46"/>
    </sheetView>
  </sheetViews>
  <sheetFormatPr baseColWidth="10" defaultRowHeight="16"/>
  <cols>
    <col min="1" max="1" width="26.83203125" bestFit="1" customWidth="1"/>
    <col min="4" max="4" width="17.33203125" bestFit="1" customWidth="1"/>
  </cols>
  <sheetData>
    <row r="1" spans="1:5">
      <c r="B1" t="s">
        <v>57</v>
      </c>
    </row>
    <row r="2" spans="1:5">
      <c r="A2" t="s">
        <v>214</v>
      </c>
      <c r="B2" s="6">
        <v>23221</v>
      </c>
    </row>
    <row r="3" spans="1:5">
      <c r="A3" t="s">
        <v>215</v>
      </c>
      <c r="B3" s="2">
        <v>893</v>
      </c>
      <c r="C3" t="s">
        <v>218</v>
      </c>
    </row>
    <row r="4" spans="1:5">
      <c r="A4" t="s">
        <v>216</v>
      </c>
      <c r="B4" s="2">
        <v>12.45</v>
      </c>
    </row>
    <row r="5" spans="1:5">
      <c r="A5" t="s">
        <v>217</v>
      </c>
      <c r="B5" s="57">
        <v>3.5000000000000003E-2</v>
      </c>
    </row>
    <row r="6" spans="1:5" ht="17" thickBot="1">
      <c r="D6" t="s">
        <v>220</v>
      </c>
      <c r="E6" s="7">
        <f>B3/B2</f>
        <v>3.8456569484518324E-2</v>
      </c>
    </row>
    <row r="7" spans="1:5" ht="17" thickBot="1">
      <c r="A7" t="s">
        <v>219</v>
      </c>
      <c r="B7" s="58">
        <f>B3*(1-(1+B5)^-B4)/B5+B2/(1+B5)^B4</f>
        <v>24019.940934605132</v>
      </c>
    </row>
    <row r="11" spans="1:5">
      <c r="B11" s="54"/>
      <c r="D11" s="55"/>
    </row>
    <row r="12" spans="1:5">
      <c r="B12" s="54"/>
      <c r="D12" s="55"/>
    </row>
    <row r="13" spans="1:5">
      <c r="B13" s="54"/>
      <c r="D13" s="55"/>
    </row>
    <row r="14" spans="1:5">
      <c r="B14" s="54"/>
      <c r="D14" s="55"/>
    </row>
    <row r="15" spans="1:5">
      <c r="B15" s="54"/>
      <c r="D15" s="55"/>
    </row>
    <row r="16" spans="1:5">
      <c r="B16" s="54"/>
      <c r="D16" s="55"/>
    </row>
    <row r="17" spans="2:4">
      <c r="B17" s="54"/>
      <c r="D17" s="55"/>
    </row>
    <row r="18" spans="2:4">
      <c r="B18" s="54"/>
      <c r="D18" s="55"/>
    </row>
    <row r="19" spans="2:4">
      <c r="B19" s="54"/>
      <c r="D19" s="55"/>
    </row>
    <row r="20" spans="2:4">
      <c r="B20" s="54"/>
      <c r="D20" s="55"/>
    </row>
    <row r="21" spans="2:4">
      <c r="B21" s="54"/>
      <c r="D21" s="55"/>
    </row>
    <row r="22" spans="2:4">
      <c r="B22" s="54"/>
      <c r="D22" s="55"/>
    </row>
    <row r="23" spans="2:4">
      <c r="B23" s="54"/>
      <c r="D23" s="55"/>
    </row>
    <row r="24" spans="2:4">
      <c r="B24" s="54"/>
      <c r="D24" s="55"/>
    </row>
    <row r="25" spans="2:4">
      <c r="B25" s="54"/>
      <c r="D25" s="55"/>
    </row>
    <row r="26" spans="2:4">
      <c r="B26" s="54"/>
      <c r="D26" s="55"/>
    </row>
    <row r="27" spans="2:4">
      <c r="B27" s="54"/>
      <c r="D27" s="55"/>
    </row>
    <row r="28" spans="2:4">
      <c r="B28" s="54"/>
      <c r="D28" s="55"/>
    </row>
    <row r="29" spans="2:4">
      <c r="B29" s="54"/>
      <c r="D29" s="55"/>
    </row>
    <row r="30" spans="2:4">
      <c r="B30" s="54"/>
      <c r="D30" s="55"/>
    </row>
    <row r="31" spans="2:4">
      <c r="B31" s="54"/>
      <c r="D31" s="55"/>
    </row>
    <row r="32" spans="2:4">
      <c r="B32" s="54"/>
      <c r="D32" s="55"/>
    </row>
    <row r="33" spans="2:5">
      <c r="B33" s="54"/>
      <c r="D33" s="55"/>
    </row>
    <row r="34" spans="2:5">
      <c r="B34" s="54"/>
      <c r="D34" s="55"/>
    </row>
    <row r="35" spans="2:5">
      <c r="B35" s="54"/>
      <c r="D35" s="55"/>
    </row>
    <row r="36" spans="2:5">
      <c r="B36" s="54"/>
      <c r="D36" s="55"/>
    </row>
    <row r="37" spans="2:5">
      <c r="B37" s="54"/>
      <c r="D37" s="55"/>
    </row>
    <row r="38" spans="2:5">
      <c r="B38" s="54"/>
      <c r="D38" s="55"/>
    </row>
    <row r="39" spans="2:5" ht="17" thickBot="1">
      <c r="B39" s="54"/>
      <c r="D39" s="55"/>
    </row>
    <row r="40" spans="2:5" ht="17" thickBot="1">
      <c r="B40" s="54"/>
      <c r="D40" s="55"/>
      <c r="E40" s="56"/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workbookViewId="0">
      <selection activeCell="C18" sqref="C18"/>
    </sheetView>
  </sheetViews>
  <sheetFormatPr baseColWidth="10" defaultRowHeight="16"/>
  <sheetData>
    <row r="1" spans="1:11" s="10" customFormat="1" ht="19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s="15" customFormat="1">
      <c r="A2" s="11" t="s">
        <v>54</v>
      </c>
      <c r="B2" s="12"/>
      <c r="C2" s="12"/>
      <c r="D2" s="12"/>
      <c r="E2" s="12"/>
      <c r="F2" s="12"/>
      <c r="G2" s="12"/>
      <c r="H2" s="12"/>
      <c r="I2" s="12"/>
      <c r="J2" s="13"/>
      <c r="K2" s="14"/>
    </row>
    <row r="3" spans="1:11" s="15" customFormat="1">
      <c r="A3" s="16" t="s">
        <v>55</v>
      </c>
      <c r="B3" s="14"/>
      <c r="C3" s="14"/>
      <c r="D3" s="14"/>
      <c r="E3" s="14"/>
      <c r="F3" s="14"/>
      <c r="G3" s="14"/>
      <c r="H3" s="14"/>
      <c r="I3" s="14"/>
      <c r="J3" s="17"/>
      <c r="K3" s="14"/>
    </row>
    <row r="4" spans="1:11" s="21" customFormat="1">
      <c r="A4" s="18" t="s">
        <v>56</v>
      </c>
      <c r="B4" s="19"/>
      <c r="C4" s="19"/>
      <c r="D4" s="19"/>
      <c r="E4" s="19"/>
      <c r="F4" s="19"/>
      <c r="G4" s="19"/>
      <c r="H4" s="19"/>
      <c r="I4" s="19"/>
      <c r="J4" s="20"/>
    </row>
    <row r="5" spans="1:11" s="10" customFormat="1" ht="19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s="22" customFormat="1" ht="14">
      <c r="A6" s="22" t="s">
        <v>57</v>
      </c>
    </row>
    <row r="7" spans="1:11" s="23" customFormat="1" ht="14">
      <c r="A7" s="23" t="s">
        <v>58</v>
      </c>
      <c r="E7" s="24">
        <v>646</v>
      </c>
    </row>
    <row r="8" spans="1:11" s="25" customFormat="1" ht="14">
      <c r="A8" s="25" t="s">
        <v>59</v>
      </c>
    </row>
    <row r="9" spans="1:11" s="23" customFormat="1" ht="13">
      <c r="A9" s="26" t="s">
        <v>60</v>
      </c>
      <c r="B9" s="26" t="s">
        <v>61</v>
      </c>
      <c r="C9" s="23" t="s">
        <v>62</v>
      </c>
    </row>
    <row r="10" spans="1:11" s="23" customFormat="1" ht="14">
      <c r="A10" s="26">
        <v>1</v>
      </c>
      <c r="B10" s="24">
        <v>646</v>
      </c>
    </row>
    <row r="11" spans="1:11" s="23" customFormat="1" ht="14">
      <c r="A11" s="26">
        <v>2</v>
      </c>
      <c r="B11" s="24">
        <v>444</v>
      </c>
    </row>
    <row r="12" spans="1:11" s="23" customFormat="1" ht="14">
      <c r="A12" s="26">
        <v>3</v>
      </c>
      <c r="B12" s="24">
        <v>444</v>
      </c>
    </row>
    <row r="13" spans="1:11" s="23" customFormat="1" ht="14">
      <c r="A13" s="26">
        <v>4</v>
      </c>
      <c r="B13" s="24">
        <v>206.5</v>
      </c>
    </row>
    <row r="14" spans="1:11" s="23" customFormat="1" ht="14">
      <c r="A14" s="26">
        <v>5</v>
      </c>
      <c r="B14" s="24">
        <v>206.5</v>
      </c>
    </row>
    <row r="15" spans="1:11" s="23" customFormat="1" ht="14">
      <c r="A15" s="26" t="s">
        <v>63</v>
      </c>
      <c r="B15" s="24">
        <v>539</v>
      </c>
    </row>
    <row r="16" spans="1:11" s="23" customFormat="1" ht="15" thickBot="1"/>
    <row r="17" spans="1:5" s="23" customFormat="1" ht="15" thickBot="1">
      <c r="A17" s="23" t="s">
        <v>64</v>
      </c>
      <c r="C17" s="27">
        <v>0.03</v>
      </c>
    </row>
    <row r="18" spans="1:5" s="23" customFormat="1" ht="14"/>
    <row r="19" spans="1:5" s="25" customFormat="1" ht="14">
      <c r="A19" s="25" t="s">
        <v>65</v>
      </c>
    </row>
    <row r="20" spans="1:5" s="23" customFormat="1" ht="14">
      <c r="A20" s="23" t="s">
        <v>66</v>
      </c>
      <c r="D20" s="24">
        <v>10000</v>
      </c>
      <c r="E20" s="23" t="s">
        <v>67</v>
      </c>
    </row>
    <row r="21" spans="1:5" s="23" customFormat="1" ht="14">
      <c r="A21" s="23" t="s">
        <v>68</v>
      </c>
      <c r="D21" s="24">
        <v>25000</v>
      </c>
      <c r="E21" s="23" t="s">
        <v>69</v>
      </c>
    </row>
    <row r="22" spans="1:5" s="23" customFormat="1" ht="14">
      <c r="A22" s="23" t="s">
        <v>70</v>
      </c>
      <c r="D22" s="24">
        <v>2000</v>
      </c>
    </row>
    <row r="23" spans="1:5" s="22" customFormat="1" ht="14">
      <c r="A23" s="22" t="s">
        <v>71</v>
      </c>
      <c r="D23" s="28"/>
    </row>
    <row r="24" spans="1:5" s="23" customFormat="1" ht="14">
      <c r="A24" s="23" t="s">
        <v>72</v>
      </c>
      <c r="D24" s="29">
        <f>ROUND(B15/AVERAGE(B10:B14),0)</f>
        <v>1</v>
      </c>
      <c r="E24" s="23" t="s">
        <v>73</v>
      </c>
    </row>
    <row r="25" spans="1:5" s="22" customFormat="1" ht="14">
      <c r="E25" s="23" t="s">
        <v>74</v>
      </c>
    </row>
    <row r="26" spans="1:5" s="25" customFormat="1" ht="14">
      <c r="A26" s="25" t="s">
        <v>75</v>
      </c>
    </row>
    <row r="27" spans="1:5" s="23" customFormat="1" ht="14">
      <c r="A27" s="26" t="s">
        <v>60</v>
      </c>
      <c r="B27" s="26" t="s">
        <v>61</v>
      </c>
      <c r="C27" s="26" t="s">
        <v>76</v>
      </c>
    </row>
    <row r="28" spans="1:5" s="23" customFormat="1" ht="14">
      <c r="A28" s="30">
        <f>A10</f>
        <v>1</v>
      </c>
      <c r="B28" s="31">
        <f>B10</f>
        <v>646</v>
      </c>
      <c r="C28" s="32">
        <f>B28/(1+$C$17)^A28</f>
        <v>627.18446601941741</v>
      </c>
    </row>
    <row r="29" spans="1:5" s="23" customFormat="1" ht="14">
      <c r="A29" s="30">
        <f t="shared" ref="A29:B32" si="0">A11</f>
        <v>2</v>
      </c>
      <c r="B29" s="31">
        <f t="shared" si="0"/>
        <v>444</v>
      </c>
      <c r="C29" s="32">
        <f>B29/(1+$C$17)^A29</f>
        <v>418.51258365538695</v>
      </c>
    </row>
    <row r="30" spans="1:5" s="23" customFormat="1" ht="14">
      <c r="A30" s="30">
        <f t="shared" si="0"/>
        <v>3</v>
      </c>
      <c r="B30" s="31">
        <f t="shared" si="0"/>
        <v>444</v>
      </c>
      <c r="C30" s="32">
        <f>B30/(1+$C$17)^A30</f>
        <v>406.32289675280288</v>
      </c>
    </row>
    <row r="31" spans="1:5" s="23" customFormat="1" ht="14">
      <c r="A31" s="30">
        <f t="shared" si="0"/>
        <v>4</v>
      </c>
      <c r="B31" s="31">
        <f t="shared" si="0"/>
        <v>206.5</v>
      </c>
      <c r="C31" s="32">
        <f>B31/(1+$C$17)^A31</f>
        <v>183.47257539458977</v>
      </c>
    </row>
    <row r="32" spans="1:5" s="23" customFormat="1" ht="14">
      <c r="A32" s="30">
        <f t="shared" si="0"/>
        <v>5</v>
      </c>
      <c r="B32" s="31">
        <f t="shared" si="0"/>
        <v>206.5</v>
      </c>
      <c r="C32" s="32">
        <f>B32/(1+$C$17)^A32</f>
        <v>178.12871397532987</v>
      </c>
    </row>
    <row r="33" spans="1:4" s="23" customFormat="1" ht="15" thickBot="1">
      <c r="A33" s="33" t="str">
        <f>A15</f>
        <v>6 and beyond</v>
      </c>
      <c r="B33" s="34">
        <f>IF(B15&gt;0,IF(D24&gt;1,B15/D24,B15),0)</f>
        <v>539</v>
      </c>
      <c r="C33" s="35">
        <f>IF(D24&gt;0,(B33*(1-(1+C17)^(-D24))/C17)/(1+$C$17)^5,B33/(1+C17)^6)</f>
        <v>451.40401435248953</v>
      </c>
      <c r="D33" s="23" t="s">
        <v>77</v>
      </c>
    </row>
    <row r="34" spans="1:4" s="23" customFormat="1" ht="15" thickBot="1">
      <c r="A34" s="36" t="s">
        <v>78</v>
      </c>
      <c r="B34" s="36"/>
      <c r="C34" s="37">
        <f>SUM(C28:C33)</f>
        <v>2265.0252501500167</v>
      </c>
    </row>
  </sheetData>
  <pageMargins left="0.75" right="0.75" top="1" bottom="1" header="0.5" footer="0.5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4"/>
  <sheetViews>
    <sheetView workbookViewId="0">
      <selection activeCell="B2" sqref="B2"/>
    </sheetView>
  </sheetViews>
  <sheetFormatPr baseColWidth="10" defaultRowHeight="16"/>
  <cols>
    <col min="1" max="1" width="20.6640625" bestFit="1" customWidth="1"/>
    <col min="2" max="2" width="15" customWidth="1"/>
  </cols>
  <sheetData>
    <row r="1" spans="1:2" s="73" customFormat="1">
      <c r="A1" s="71" t="s">
        <v>85</v>
      </c>
      <c r="B1" s="72" t="s">
        <v>345</v>
      </c>
    </row>
    <row r="2" spans="1:2">
      <c r="A2" s="69" t="s">
        <v>86</v>
      </c>
      <c r="B2" s="68">
        <v>0.2</v>
      </c>
    </row>
    <row r="3" spans="1:2">
      <c r="A3" s="69" t="s">
        <v>87</v>
      </c>
      <c r="B3" s="68">
        <v>0.15</v>
      </c>
    </row>
    <row r="4" spans="1:2">
      <c r="A4" s="69" t="s">
        <v>278</v>
      </c>
      <c r="B4" s="68">
        <v>0.26</v>
      </c>
    </row>
    <row r="5" spans="1:2">
      <c r="A5" s="69" t="s">
        <v>299</v>
      </c>
      <c r="B5" s="68">
        <v>0.1</v>
      </c>
    </row>
    <row r="6" spans="1:2">
      <c r="A6" s="69" t="s">
        <v>88</v>
      </c>
      <c r="B6" s="68">
        <v>0.3</v>
      </c>
    </row>
    <row r="7" spans="1:2">
      <c r="A7" s="69" t="s">
        <v>300</v>
      </c>
      <c r="B7" s="68">
        <v>0</v>
      </c>
    </row>
    <row r="8" spans="1:2">
      <c r="A8" s="69" t="s">
        <v>301</v>
      </c>
      <c r="B8" s="68">
        <v>0.25</v>
      </c>
    </row>
    <row r="9" spans="1:2">
      <c r="A9" s="69" t="s">
        <v>89</v>
      </c>
      <c r="B9" s="68">
        <v>0.3</v>
      </c>
    </row>
    <row r="10" spans="1:2">
      <c r="A10" s="69" t="s">
        <v>90</v>
      </c>
      <c r="B10" s="68">
        <v>0.18</v>
      </c>
    </row>
    <row r="11" spans="1:2">
      <c r="A11" s="69" t="s">
        <v>91</v>
      </c>
      <c r="B11" s="68">
        <v>0.25</v>
      </c>
    </row>
    <row r="12" spans="1:2">
      <c r="A12" s="69" t="s">
        <v>92</v>
      </c>
      <c r="B12" s="68">
        <v>0.3</v>
      </c>
    </row>
    <row r="13" spans="1:2">
      <c r="A13" s="69" t="s">
        <v>93</v>
      </c>
      <c r="B13" s="68">
        <v>0.25</v>
      </c>
    </row>
    <row r="14" spans="1:2">
      <c r="A14" s="69" t="s">
        <v>302</v>
      </c>
      <c r="B14" s="68">
        <v>0.2</v>
      </c>
    </row>
    <row r="15" spans="1:2">
      <c r="A15" s="69" t="s">
        <v>94</v>
      </c>
      <c r="B15" s="68">
        <v>0</v>
      </c>
    </row>
    <row r="16" spans="1:2">
      <c r="A16" s="69" t="s">
        <v>95</v>
      </c>
      <c r="B16" s="68">
        <v>0</v>
      </c>
    </row>
    <row r="17" spans="1:2">
      <c r="A17" s="69" t="s">
        <v>96</v>
      </c>
      <c r="B17" s="68">
        <v>0.25</v>
      </c>
    </row>
    <row r="18" spans="1:2">
      <c r="A18" s="69" t="s">
        <v>97</v>
      </c>
      <c r="B18" s="68">
        <v>5.5E-2</v>
      </c>
    </row>
    <row r="19" spans="1:2">
      <c r="A19" s="69" t="s">
        <v>98</v>
      </c>
      <c r="B19" s="68">
        <v>0.18</v>
      </c>
    </row>
    <row r="20" spans="1:2">
      <c r="A20" s="69" t="s">
        <v>99</v>
      </c>
      <c r="B20" s="68">
        <v>0.28999999999999998</v>
      </c>
    </row>
    <row r="21" spans="1:2">
      <c r="A21" s="69" t="s">
        <v>303</v>
      </c>
      <c r="B21" s="68">
        <v>0.3</v>
      </c>
    </row>
    <row r="22" spans="1:2">
      <c r="A22" s="69" t="s">
        <v>100</v>
      </c>
      <c r="B22" s="68">
        <v>0</v>
      </c>
    </row>
    <row r="23" spans="1:2">
      <c r="A23" s="69" t="s">
        <v>101</v>
      </c>
      <c r="B23" s="68">
        <v>0.25</v>
      </c>
    </row>
    <row r="24" spans="1:2">
      <c r="A24" s="69" t="s">
        <v>279</v>
      </c>
      <c r="B24" s="68">
        <v>0.25</v>
      </c>
    </row>
    <row r="25" spans="1:2">
      <c r="A25" s="69" t="s">
        <v>102</v>
      </c>
      <c r="B25" s="68">
        <v>0.1</v>
      </c>
    </row>
    <row r="26" spans="1:2">
      <c r="A26" s="69" t="s">
        <v>103</v>
      </c>
      <c r="B26" s="68">
        <v>0.22</v>
      </c>
    </row>
    <row r="27" spans="1:2">
      <c r="A27" s="69" t="s">
        <v>104</v>
      </c>
      <c r="B27" s="68">
        <v>0.34</v>
      </c>
    </row>
    <row r="28" spans="1:2">
      <c r="A28" s="69" t="s">
        <v>304</v>
      </c>
      <c r="B28" s="68">
        <v>0.185</v>
      </c>
    </row>
    <row r="29" spans="1:2">
      <c r="A29" s="69" t="s">
        <v>105</v>
      </c>
      <c r="B29" s="68">
        <v>0.1</v>
      </c>
    </row>
    <row r="30" spans="1:2">
      <c r="A30" s="69" t="s">
        <v>305</v>
      </c>
      <c r="B30" s="68">
        <v>0.28000000000000003</v>
      </c>
    </row>
    <row r="31" spans="1:2">
      <c r="A31" s="69" t="s">
        <v>306</v>
      </c>
      <c r="B31" s="68">
        <v>0.3</v>
      </c>
    </row>
    <row r="32" spans="1:2">
      <c r="A32" s="69" t="s">
        <v>106</v>
      </c>
      <c r="B32" s="68">
        <v>0.2</v>
      </c>
    </row>
    <row r="33" spans="1:2">
      <c r="A33" s="69" t="s">
        <v>280</v>
      </c>
      <c r="B33" s="68">
        <v>0.33</v>
      </c>
    </row>
    <row r="34" spans="1:2">
      <c r="A34" s="69" t="s">
        <v>107</v>
      </c>
      <c r="B34" s="68">
        <v>0.26500000000000001</v>
      </c>
    </row>
    <row r="35" spans="1:2">
      <c r="A35" s="69" t="s">
        <v>108</v>
      </c>
      <c r="B35" s="68">
        <v>0</v>
      </c>
    </row>
    <row r="36" spans="1:2">
      <c r="A36" s="69" t="s">
        <v>109</v>
      </c>
      <c r="B36" s="68">
        <v>0.27</v>
      </c>
    </row>
    <row r="37" spans="1:2">
      <c r="A37" s="69" t="s">
        <v>110</v>
      </c>
      <c r="B37" s="68">
        <v>0.25</v>
      </c>
    </row>
    <row r="38" spans="1:2">
      <c r="A38" s="69" t="s">
        <v>111</v>
      </c>
      <c r="B38" s="68">
        <v>0.32</v>
      </c>
    </row>
    <row r="39" spans="1:2">
      <c r="A39" s="69" t="s">
        <v>344</v>
      </c>
      <c r="B39" s="68">
        <v>0.3</v>
      </c>
    </row>
    <row r="40" spans="1:2">
      <c r="A40" s="69" t="s">
        <v>307</v>
      </c>
      <c r="B40" s="68">
        <v>0.35</v>
      </c>
    </row>
    <row r="41" spans="1:2">
      <c r="A41" s="69" t="s">
        <v>112</v>
      </c>
      <c r="B41" s="68">
        <v>0.3</v>
      </c>
    </row>
    <row r="42" spans="1:2">
      <c r="A42" s="69" t="s">
        <v>113</v>
      </c>
      <c r="B42" s="68">
        <v>0.18</v>
      </c>
    </row>
    <row r="43" spans="1:2">
      <c r="A43" s="69" t="s">
        <v>114</v>
      </c>
      <c r="B43" s="68">
        <v>0.22</v>
      </c>
    </row>
    <row r="44" spans="1:2">
      <c r="A44" s="69" t="s">
        <v>115</v>
      </c>
      <c r="B44" s="68">
        <v>0.125</v>
      </c>
    </row>
    <row r="45" spans="1:2">
      <c r="A45" s="69" t="s">
        <v>116</v>
      </c>
      <c r="B45" s="68">
        <v>0.19</v>
      </c>
    </row>
    <row r="46" spans="1:2">
      <c r="A46" s="69" t="s">
        <v>117</v>
      </c>
      <c r="B46" s="68">
        <v>0.22</v>
      </c>
    </row>
    <row r="47" spans="1:2">
      <c r="A47" s="69" t="s">
        <v>308</v>
      </c>
      <c r="B47" s="68">
        <v>0.25</v>
      </c>
    </row>
    <row r="48" spans="1:2">
      <c r="A48" s="69" t="s">
        <v>309</v>
      </c>
      <c r="B48" s="68">
        <v>0.25</v>
      </c>
    </row>
    <row r="49" spans="1:2">
      <c r="A49" s="69" t="s">
        <v>118</v>
      </c>
      <c r="B49" s="68">
        <v>0.27</v>
      </c>
    </row>
    <row r="50" spans="1:2">
      <c r="A50" s="69" t="s">
        <v>119</v>
      </c>
      <c r="B50" s="68">
        <v>0.25</v>
      </c>
    </row>
    <row r="51" spans="1:2">
      <c r="A51" s="69" t="s">
        <v>120</v>
      </c>
      <c r="B51" s="68">
        <v>0.22500000000000001</v>
      </c>
    </row>
    <row r="52" spans="1:2">
      <c r="A52" s="69" t="s">
        <v>122</v>
      </c>
      <c r="B52" s="68">
        <v>0.3</v>
      </c>
    </row>
    <row r="53" spans="1:2">
      <c r="A53" s="69" t="s">
        <v>121</v>
      </c>
      <c r="B53" s="68">
        <v>0.2</v>
      </c>
    </row>
    <row r="54" spans="1:2">
      <c r="A54" s="69" t="s">
        <v>310</v>
      </c>
      <c r="B54" s="68">
        <v>0.3</v>
      </c>
    </row>
    <row r="55" spans="1:2">
      <c r="A55" s="69" t="s">
        <v>123</v>
      </c>
      <c r="B55" s="68">
        <v>0.2</v>
      </c>
    </row>
    <row r="56" spans="1:2">
      <c r="A56" s="69" t="s">
        <v>124</v>
      </c>
      <c r="B56" s="68">
        <v>0.2</v>
      </c>
    </row>
    <row r="57" spans="1:2">
      <c r="A57" s="69" t="s">
        <v>125</v>
      </c>
      <c r="B57" s="68">
        <v>0.28000000000000003</v>
      </c>
    </row>
    <row r="58" spans="1:2">
      <c r="A58" s="69" t="s">
        <v>311</v>
      </c>
      <c r="B58" s="68">
        <v>0.3</v>
      </c>
    </row>
    <row r="59" spans="1:2">
      <c r="A59" s="69" t="s">
        <v>312</v>
      </c>
      <c r="B59" s="68">
        <v>0.31</v>
      </c>
    </row>
    <row r="60" spans="1:2">
      <c r="A60" s="69" t="s">
        <v>126</v>
      </c>
      <c r="B60" s="68">
        <v>0.15</v>
      </c>
    </row>
    <row r="61" spans="1:2">
      <c r="A61" s="69" t="s">
        <v>127</v>
      </c>
      <c r="B61" s="68">
        <v>0.3</v>
      </c>
    </row>
    <row r="62" spans="1:2">
      <c r="A62" s="69" t="s">
        <v>281</v>
      </c>
      <c r="B62" s="68">
        <v>0.25</v>
      </c>
    </row>
    <row r="63" spans="1:2">
      <c r="A63" s="69" t="s">
        <v>128</v>
      </c>
      <c r="B63" s="68">
        <v>0.1</v>
      </c>
    </row>
    <row r="64" spans="1:2">
      <c r="A64" s="69" t="s">
        <v>129</v>
      </c>
      <c r="B64" s="68">
        <v>0.24</v>
      </c>
    </row>
    <row r="65" spans="1:2">
      <c r="A65" s="69" t="s">
        <v>313</v>
      </c>
      <c r="B65" s="68">
        <v>0.28000000000000003</v>
      </c>
    </row>
    <row r="66" spans="1:2">
      <c r="A66" s="69" t="s">
        <v>130</v>
      </c>
      <c r="B66" s="68">
        <v>0.25</v>
      </c>
    </row>
    <row r="67" spans="1:2">
      <c r="A67" s="69" t="s">
        <v>131</v>
      </c>
      <c r="B67" s="68">
        <v>0</v>
      </c>
    </row>
    <row r="68" spans="1:2">
      <c r="A68" s="69" t="s">
        <v>132</v>
      </c>
      <c r="B68" s="68">
        <v>0.25</v>
      </c>
    </row>
    <row r="69" spans="1:2">
      <c r="A69" s="69" t="s">
        <v>282</v>
      </c>
      <c r="B69" s="68">
        <v>0.16500000000000001</v>
      </c>
    </row>
    <row r="70" spans="1:2">
      <c r="A70" s="69" t="s">
        <v>133</v>
      </c>
      <c r="B70" s="68">
        <v>0.09</v>
      </c>
    </row>
    <row r="71" spans="1:2">
      <c r="A71" s="69" t="s">
        <v>134</v>
      </c>
      <c r="B71" s="68">
        <v>0.2</v>
      </c>
    </row>
    <row r="72" spans="1:2">
      <c r="A72" s="69" t="s">
        <v>135</v>
      </c>
      <c r="B72" s="68">
        <v>0.3</v>
      </c>
    </row>
    <row r="73" spans="1:2">
      <c r="A73" s="69" t="s">
        <v>136</v>
      </c>
      <c r="B73" s="68">
        <v>0.25</v>
      </c>
    </row>
    <row r="74" spans="1:2">
      <c r="A74" s="69" t="s">
        <v>283</v>
      </c>
      <c r="B74" s="68">
        <v>0.15</v>
      </c>
    </row>
    <row r="75" spans="1:2">
      <c r="A75" s="69" t="s">
        <v>137</v>
      </c>
      <c r="B75" s="68">
        <v>0.125</v>
      </c>
    </row>
    <row r="76" spans="1:2">
      <c r="A76" s="69" t="s">
        <v>138</v>
      </c>
      <c r="B76" s="68">
        <v>0</v>
      </c>
    </row>
    <row r="77" spans="1:2">
      <c r="A77" s="69" t="s">
        <v>139</v>
      </c>
      <c r="B77" s="68">
        <v>0.23</v>
      </c>
    </row>
    <row r="78" spans="1:2">
      <c r="A78" s="69" t="s">
        <v>140</v>
      </c>
      <c r="B78" s="68">
        <v>0.24</v>
      </c>
    </row>
    <row r="79" spans="1:2">
      <c r="A79" s="69" t="s">
        <v>314</v>
      </c>
      <c r="B79" s="68">
        <v>0.25</v>
      </c>
    </row>
    <row r="80" spans="1:2">
      <c r="A80" s="69" t="s">
        <v>141</v>
      </c>
      <c r="B80" s="68">
        <v>0.25</v>
      </c>
    </row>
    <row r="81" spans="1:2">
      <c r="A81" s="69" t="s">
        <v>142</v>
      </c>
      <c r="B81" s="68">
        <v>0.30620000000000003</v>
      </c>
    </row>
    <row r="82" spans="1:2">
      <c r="A82" s="69" t="s">
        <v>143</v>
      </c>
      <c r="B82" s="68">
        <v>0</v>
      </c>
    </row>
    <row r="83" spans="1:2">
      <c r="A83" s="69" t="s">
        <v>144</v>
      </c>
      <c r="B83" s="68">
        <v>0.2</v>
      </c>
    </row>
    <row r="84" spans="1:2">
      <c r="A84" s="69" t="s">
        <v>145</v>
      </c>
      <c r="B84" s="68">
        <v>0.2</v>
      </c>
    </row>
    <row r="85" spans="1:2">
      <c r="A85" s="69" t="s">
        <v>146</v>
      </c>
      <c r="B85" s="68">
        <v>0.3</v>
      </c>
    </row>
    <row r="86" spans="1:2">
      <c r="A86" s="69" t="s">
        <v>147</v>
      </c>
      <c r="B86" s="68">
        <v>0.25</v>
      </c>
    </row>
    <row r="87" spans="1:2">
      <c r="A87" s="69" t="s">
        <v>148</v>
      </c>
      <c r="B87" s="68">
        <v>0.15</v>
      </c>
    </row>
    <row r="88" spans="1:2">
      <c r="A88" s="69" t="s">
        <v>315</v>
      </c>
      <c r="B88" s="68">
        <v>0.1</v>
      </c>
    </row>
    <row r="89" spans="1:2">
      <c r="A89" s="69" t="s">
        <v>149</v>
      </c>
      <c r="B89" s="68">
        <v>0.2</v>
      </c>
    </row>
    <row r="90" spans="1:2">
      <c r="A90" s="69" t="s">
        <v>284</v>
      </c>
      <c r="B90" s="68">
        <v>0.17</v>
      </c>
    </row>
    <row r="91" spans="1:2">
      <c r="A91" s="69" t="s">
        <v>150</v>
      </c>
      <c r="B91" s="68">
        <v>0.2</v>
      </c>
    </row>
    <row r="92" spans="1:2">
      <c r="A92" s="69" t="s">
        <v>151</v>
      </c>
      <c r="B92" s="68">
        <v>0.125</v>
      </c>
    </row>
    <row r="93" spans="1:2">
      <c r="A93" s="69" t="s">
        <v>152</v>
      </c>
      <c r="B93" s="68">
        <v>0.15</v>
      </c>
    </row>
    <row r="94" spans="1:2">
      <c r="A94" s="69" t="s">
        <v>153</v>
      </c>
      <c r="B94" s="68">
        <v>0.24940000000000001</v>
      </c>
    </row>
    <row r="95" spans="1:2">
      <c r="A95" s="69" t="s">
        <v>154</v>
      </c>
      <c r="B95" s="68">
        <v>0.12</v>
      </c>
    </row>
    <row r="96" spans="1:2">
      <c r="A96" s="69" t="s">
        <v>155</v>
      </c>
      <c r="B96" s="68">
        <v>0.1</v>
      </c>
    </row>
    <row r="97" spans="1:2">
      <c r="A97" s="69" t="s">
        <v>316</v>
      </c>
      <c r="B97" s="68">
        <v>0.2</v>
      </c>
    </row>
    <row r="98" spans="1:2">
      <c r="A98" s="69" t="s">
        <v>156</v>
      </c>
      <c r="B98" s="68">
        <v>0.3</v>
      </c>
    </row>
    <row r="99" spans="1:2">
      <c r="A99" s="69" t="s">
        <v>157</v>
      </c>
      <c r="B99" s="68">
        <v>0.24</v>
      </c>
    </row>
    <row r="100" spans="1:2">
      <c r="A100" s="69" t="s">
        <v>158</v>
      </c>
      <c r="B100" s="68">
        <v>0.35</v>
      </c>
    </row>
    <row r="101" spans="1:2">
      <c r="A101" s="69" t="s">
        <v>159</v>
      </c>
      <c r="B101" s="68">
        <v>0.15</v>
      </c>
    </row>
    <row r="102" spans="1:2">
      <c r="A102" s="69" t="s">
        <v>160</v>
      </c>
      <c r="B102" s="68">
        <v>0.3</v>
      </c>
    </row>
    <row r="103" spans="1:2">
      <c r="A103" s="69" t="s">
        <v>285</v>
      </c>
      <c r="B103" s="68">
        <v>0.12</v>
      </c>
    </row>
    <row r="104" spans="1:2">
      <c r="A104" s="69" t="s">
        <v>317</v>
      </c>
      <c r="B104" s="68">
        <v>0.33</v>
      </c>
    </row>
    <row r="105" spans="1:2">
      <c r="A105" s="69" t="s">
        <v>318</v>
      </c>
      <c r="B105" s="68">
        <v>0.25</v>
      </c>
    </row>
    <row r="106" spans="1:2">
      <c r="A106" s="69" t="s">
        <v>161</v>
      </c>
      <c r="B106" s="68">
        <v>0.09</v>
      </c>
    </row>
    <row r="107" spans="1:2">
      <c r="A107" s="69" t="s">
        <v>286</v>
      </c>
      <c r="B107" s="68">
        <v>0.31</v>
      </c>
    </row>
    <row r="108" spans="1:2">
      <c r="A108" s="69" t="s">
        <v>162</v>
      </c>
      <c r="B108" s="68">
        <v>0.32</v>
      </c>
    </row>
    <row r="109" spans="1:2">
      <c r="A109" s="69" t="s">
        <v>319</v>
      </c>
      <c r="B109" s="68">
        <v>0.25</v>
      </c>
    </row>
    <row r="110" spans="1:2">
      <c r="A110" s="69" t="s">
        <v>163</v>
      </c>
      <c r="B110" s="68">
        <v>0.32</v>
      </c>
    </row>
    <row r="111" spans="1:2">
      <c r="A111" s="69" t="s">
        <v>164</v>
      </c>
      <c r="B111" s="68">
        <v>0.25</v>
      </c>
    </row>
    <row r="112" spans="1:2">
      <c r="A112" s="69" t="s">
        <v>165</v>
      </c>
      <c r="B112" s="68">
        <v>0.28000000000000003</v>
      </c>
    </row>
    <row r="113" spans="1:2">
      <c r="A113" s="69" t="s">
        <v>320</v>
      </c>
      <c r="B113" s="68">
        <v>0.3</v>
      </c>
    </row>
    <row r="114" spans="1:2">
      <c r="A114" s="69" t="s">
        <v>166</v>
      </c>
      <c r="B114" s="68">
        <v>0.3</v>
      </c>
    </row>
    <row r="115" spans="1:2">
      <c r="A115" s="69" t="s">
        <v>167</v>
      </c>
      <c r="B115" s="68">
        <v>0.22</v>
      </c>
    </row>
    <row r="116" spans="1:2">
      <c r="A116" s="69" t="s">
        <v>168</v>
      </c>
      <c r="B116" s="68">
        <v>0.15</v>
      </c>
    </row>
    <row r="117" spans="1:2">
      <c r="A117" s="69" t="s">
        <v>169</v>
      </c>
      <c r="B117" s="68">
        <v>0.35</v>
      </c>
    </row>
    <row r="118" spans="1:2">
      <c r="A118" s="69" t="s">
        <v>321</v>
      </c>
      <c r="B118" s="68">
        <v>0.15</v>
      </c>
    </row>
    <row r="119" spans="1:2">
      <c r="A119" s="69" t="s">
        <v>170</v>
      </c>
      <c r="B119" s="68">
        <v>0.25</v>
      </c>
    </row>
    <row r="120" spans="1:2">
      <c r="A120" s="69" t="s">
        <v>171</v>
      </c>
      <c r="B120" s="68">
        <v>0.3</v>
      </c>
    </row>
    <row r="121" spans="1:2">
      <c r="A121" s="69" t="s">
        <v>172</v>
      </c>
      <c r="B121" s="68">
        <v>0.1</v>
      </c>
    </row>
    <row r="122" spans="1:2">
      <c r="A122" s="69" t="s">
        <v>173</v>
      </c>
      <c r="B122" s="68">
        <v>0.29499999999999998</v>
      </c>
    </row>
    <row r="123" spans="1:2">
      <c r="A123" s="69" t="s">
        <v>174</v>
      </c>
      <c r="B123" s="68">
        <v>0.3</v>
      </c>
    </row>
    <row r="124" spans="1:2">
      <c r="A124" s="69" t="s">
        <v>175</v>
      </c>
      <c r="B124" s="68">
        <v>0.19</v>
      </c>
    </row>
    <row r="125" spans="1:2">
      <c r="A125" s="69" t="s">
        <v>176</v>
      </c>
      <c r="B125" s="68">
        <v>0.21</v>
      </c>
    </row>
    <row r="126" spans="1:2">
      <c r="A126" s="69" t="s">
        <v>177</v>
      </c>
      <c r="B126" s="68">
        <v>0.1</v>
      </c>
    </row>
    <row r="127" spans="1:2">
      <c r="A127" s="69" t="s">
        <v>178</v>
      </c>
      <c r="B127" s="68">
        <v>0.16</v>
      </c>
    </row>
    <row r="128" spans="1:2">
      <c r="A128" s="69" t="s">
        <v>179</v>
      </c>
      <c r="B128" s="68">
        <v>0.2</v>
      </c>
    </row>
    <row r="129" spans="1:2">
      <c r="A129" s="69" t="s">
        <v>322</v>
      </c>
      <c r="B129" s="68">
        <v>0.3</v>
      </c>
    </row>
    <row r="130" spans="1:2">
      <c r="A130" s="69" t="s">
        <v>323</v>
      </c>
      <c r="B130" s="68">
        <v>0.33</v>
      </c>
    </row>
    <row r="131" spans="1:2">
      <c r="A131" s="69" t="s">
        <v>324</v>
      </c>
      <c r="B131" s="68">
        <v>0.3</v>
      </c>
    </row>
    <row r="132" spans="1:2">
      <c r="A132" s="69" t="s">
        <v>325</v>
      </c>
      <c r="B132" s="68">
        <v>0.3</v>
      </c>
    </row>
    <row r="133" spans="1:2">
      <c r="A133" s="69" t="s">
        <v>180</v>
      </c>
      <c r="B133" s="68">
        <v>0.27</v>
      </c>
    </row>
    <row r="134" spans="1:2">
      <c r="A134" s="69" t="s">
        <v>181</v>
      </c>
      <c r="B134" s="68">
        <v>0.2</v>
      </c>
    </row>
    <row r="135" spans="1:2">
      <c r="A135" s="69" t="s">
        <v>326</v>
      </c>
      <c r="B135" s="68">
        <v>0.3</v>
      </c>
    </row>
    <row r="136" spans="1:2">
      <c r="A136" s="69" t="s">
        <v>182</v>
      </c>
      <c r="B136" s="68">
        <v>0.15</v>
      </c>
    </row>
    <row r="137" spans="1:2">
      <c r="A137" s="69" t="s">
        <v>287</v>
      </c>
      <c r="B137" s="68">
        <v>0.3</v>
      </c>
    </row>
    <row r="138" spans="1:2">
      <c r="A138" s="69" t="s">
        <v>183</v>
      </c>
      <c r="B138" s="68">
        <v>0.17</v>
      </c>
    </row>
    <row r="139" spans="1:2">
      <c r="A139" s="69" t="s">
        <v>288</v>
      </c>
      <c r="B139" s="68">
        <v>0.35</v>
      </c>
    </row>
    <row r="140" spans="1:2">
      <c r="A140" s="69" t="s">
        <v>289</v>
      </c>
      <c r="B140" s="68">
        <v>0.21</v>
      </c>
    </row>
    <row r="141" spans="1:2">
      <c r="A141" s="69" t="s">
        <v>184</v>
      </c>
      <c r="B141" s="68">
        <v>0.19</v>
      </c>
    </row>
    <row r="142" spans="1:2">
      <c r="A142" s="69" t="s">
        <v>327</v>
      </c>
      <c r="B142" s="68">
        <v>0.3</v>
      </c>
    </row>
    <row r="143" spans="1:2">
      <c r="A143" s="69" t="s">
        <v>185</v>
      </c>
      <c r="B143" s="68">
        <v>0.28000000000000003</v>
      </c>
    </row>
    <row r="144" spans="1:2">
      <c r="A144" s="69" t="s">
        <v>186</v>
      </c>
      <c r="B144" s="68">
        <v>0.25</v>
      </c>
    </row>
    <row r="145" spans="1:2">
      <c r="A145" s="69" t="s">
        <v>187</v>
      </c>
      <c r="B145" s="68">
        <v>0.28000000000000003</v>
      </c>
    </row>
    <row r="146" spans="1:2">
      <c r="A146" s="69" t="s">
        <v>188</v>
      </c>
      <c r="B146" s="68">
        <v>0.35</v>
      </c>
    </row>
    <row r="147" spans="1:2">
      <c r="A147" s="69" t="s">
        <v>189</v>
      </c>
      <c r="B147" s="68">
        <v>0.35</v>
      </c>
    </row>
    <row r="148" spans="1:2">
      <c r="A148" s="69" t="s">
        <v>290</v>
      </c>
      <c r="B148" s="68">
        <v>0.36</v>
      </c>
    </row>
    <row r="149" spans="1:2">
      <c r="A149" s="69" t="s">
        <v>328</v>
      </c>
      <c r="B149" s="68">
        <v>0.27500000000000002</v>
      </c>
    </row>
    <row r="150" spans="1:2">
      <c r="A150" s="69" t="s">
        <v>190</v>
      </c>
      <c r="B150" s="68">
        <v>0.214</v>
      </c>
    </row>
    <row r="151" spans="1:2">
      <c r="A151" s="69" t="s">
        <v>191</v>
      </c>
      <c r="B151" s="68">
        <v>0.1484</v>
      </c>
    </row>
    <row r="152" spans="1:2">
      <c r="A152" s="69" t="s">
        <v>192</v>
      </c>
      <c r="B152" s="68">
        <v>0.28000000000000003</v>
      </c>
    </row>
    <row r="153" spans="1:2">
      <c r="A153" s="69" t="s">
        <v>193</v>
      </c>
      <c r="B153" s="68">
        <v>0.2</v>
      </c>
    </row>
    <row r="154" spans="1:2">
      <c r="A154" s="69" t="s">
        <v>194</v>
      </c>
      <c r="B154" s="68">
        <v>0.3</v>
      </c>
    </row>
    <row r="155" spans="1:2">
      <c r="A155" s="69" t="s">
        <v>195</v>
      </c>
      <c r="B155" s="68">
        <v>0.2</v>
      </c>
    </row>
    <row r="156" spans="1:2">
      <c r="A156" s="69" t="s">
        <v>196</v>
      </c>
      <c r="B156" s="68">
        <v>0.3</v>
      </c>
    </row>
    <row r="157" spans="1:2">
      <c r="A157" s="69" t="s">
        <v>197</v>
      </c>
      <c r="B157" s="68">
        <v>0.25</v>
      </c>
    </row>
    <row r="158" spans="1:2">
      <c r="A158" s="69" t="s">
        <v>198</v>
      </c>
      <c r="B158" s="68">
        <v>0.22</v>
      </c>
    </row>
    <row r="159" spans="1:2">
      <c r="A159" s="69" t="s">
        <v>329</v>
      </c>
      <c r="B159" s="68">
        <v>0.2</v>
      </c>
    </row>
    <row r="160" spans="1:2">
      <c r="A160" s="69" t="s">
        <v>330</v>
      </c>
      <c r="B160" s="68">
        <v>0</v>
      </c>
    </row>
    <row r="161" spans="1:2">
      <c r="A161" s="69" t="s">
        <v>199</v>
      </c>
      <c r="B161" s="68">
        <v>0.3</v>
      </c>
    </row>
    <row r="162" spans="1:2">
      <c r="A162" s="69" t="s">
        <v>200</v>
      </c>
      <c r="B162" s="68">
        <v>0.18</v>
      </c>
    </row>
    <row r="163" spans="1:2">
      <c r="A163" s="69" t="s">
        <v>201</v>
      </c>
      <c r="B163" s="68">
        <v>0.55000000000000004</v>
      </c>
    </row>
    <row r="164" spans="1:2">
      <c r="A164" s="69" t="s">
        <v>202</v>
      </c>
      <c r="B164" s="68">
        <v>0.19</v>
      </c>
    </row>
    <row r="165" spans="1:2">
      <c r="A165" s="69" t="s">
        <v>203</v>
      </c>
      <c r="B165" s="68">
        <v>0.27</v>
      </c>
    </row>
    <row r="166" spans="1:2">
      <c r="A166" s="69" t="s">
        <v>204</v>
      </c>
      <c r="B166" s="68">
        <v>0.25</v>
      </c>
    </row>
    <row r="167" spans="1:2">
      <c r="A167" s="69" t="s">
        <v>331</v>
      </c>
      <c r="B167" s="68">
        <v>7.4999999999999997E-2</v>
      </c>
    </row>
    <row r="168" spans="1:2">
      <c r="A168" s="69" t="s">
        <v>205</v>
      </c>
      <c r="B168" s="68">
        <v>0</v>
      </c>
    </row>
    <row r="169" spans="1:2">
      <c r="A169" s="69" t="s">
        <v>206</v>
      </c>
      <c r="B169" s="68">
        <v>0.34</v>
      </c>
    </row>
    <row r="170" spans="1:2">
      <c r="A170" s="69" t="s">
        <v>207</v>
      </c>
      <c r="B170" s="68">
        <v>0.2</v>
      </c>
    </row>
    <row r="171" spans="1:2">
      <c r="A171" s="69" t="s">
        <v>208</v>
      </c>
      <c r="B171" s="68">
        <v>0.2</v>
      </c>
    </row>
    <row r="172" spans="1:2">
      <c r="A172" s="69" t="s">
        <v>209</v>
      </c>
      <c r="B172" s="68">
        <v>0.35</v>
      </c>
    </row>
    <row r="173" spans="1:2">
      <c r="A173" s="69" t="s">
        <v>210</v>
      </c>
      <c r="B173" s="68">
        <v>0.24</v>
      </c>
    </row>
    <row r="174" spans="1:2">
      <c r="A174" s="69" t="s">
        <v>332</v>
      </c>
      <c r="B174" s="68">
        <v>0.28249999999999997</v>
      </c>
    </row>
    <row r="175" spans="1:2">
      <c r="A175" s="69" t="s">
        <v>333</v>
      </c>
      <c r="B175" s="68">
        <v>0.27329999999999999</v>
      </c>
    </row>
    <row r="176" spans="1:2">
      <c r="A176" s="69" t="s">
        <v>334</v>
      </c>
      <c r="B176" s="68">
        <v>0.21129999999999999</v>
      </c>
    </row>
    <row r="177" spans="1:2">
      <c r="A177" s="69" t="s">
        <v>335</v>
      </c>
      <c r="B177" s="68">
        <v>0.2087</v>
      </c>
    </row>
    <row r="178" spans="1:2">
      <c r="A178" s="69" t="s">
        <v>336</v>
      </c>
      <c r="B178" s="68">
        <v>0.19120000000000001</v>
      </c>
    </row>
    <row r="179" spans="1:2">
      <c r="A179" s="69" t="s">
        <v>337</v>
      </c>
      <c r="B179" s="68">
        <v>0.2379</v>
      </c>
    </row>
    <row r="180" spans="1:2">
      <c r="A180" s="69" t="s">
        <v>338</v>
      </c>
      <c r="B180" s="68">
        <v>0.27360000000000001</v>
      </c>
    </row>
    <row r="181" spans="1:2">
      <c r="A181" s="69" t="s">
        <v>339</v>
      </c>
      <c r="B181" s="68">
        <v>0.26750000000000002</v>
      </c>
    </row>
    <row r="182" spans="1:2">
      <c r="A182" s="69" t="s">
        <v>340</v>
      </c>
      <c r="B182" s="68">
        <v>0.2843</v>
      </c>
    </row>
    <row r="183" spans="1:2">
      <c r="A183" s="70" t="s">
        <v>341</v>
      </c>
      <c r="B183" s="68">
        <v>0.23050000000000001</v>
      </c>
    </row>
    <row r="184" spans="1:2">
      <c r="A184" s="67" t="s">
        <v>342</v>
      </c>
      <c r="B184" s="68">
        <v>0.27360000000000001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bottom up beta estimate</vt:lpstr>
      <vt:lpstr>US industry averages</vt:lpstr>
      <vt:lpstr>Market value of debt</vt:lpstr>
      <vt:lpstr>Lease conversion</vt:lpstr>
      <vt:lpstr>Marginal tax rate</vt:lpstr>
    </vt:vector>
  </TitlesOfParts>
  <Company>Stern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cp:lastModifiedBy>Microsoft Office User</cp:lastModifiedBy>
  <cp:lastPrinted>2013-01-13T18:51:34Z</cp:lastPrinted>
  <dcterms:created xsi:type="dcterms:W3CDTF">2013-01-05T21:02:00Z</dcterms:created>
  <dcterms:modified xsi:type="dcterms:W3CDTF">2023-01-22T02:57:21Z</dcterms:modified>
</cp:coreProperties>
</file>